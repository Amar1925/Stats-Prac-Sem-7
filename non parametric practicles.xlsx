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JAIN\Desktop\"/>
    </mc:Choice>
  </mc:AlternateContent>
  <xr:revisionPtr revIDLastSave="0" documentId="13_ncr:1_{8736A5AB-9EA2-49E8-82E3-51E9A24A0B7F}" xr6:coauthVersionLast="47" xr6:coauthVersionMax="47" xr10:uidLastSave="{00000000-0000-0000-0000-000000000000}"/>
  <bookViews>
    <workbookView xWindow="936" yWindow="840" windowWidth="17280" windowHeight="9960" firstSheet="3" activeTab="10" xr2:uid="{72E3CFAB-E0EF-44F3-9841-1EC1F614A856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4" l="1"/>
  <c r="D21" i="4"/>
  <c r="D20" i="4"/>
  <c r="D18" i="4"/>
  <c r="D16" i="4"/>
  <c r="G5" i="4"/>
  <c r="G6" i="4"/>
  <c r="G7" i="4"/>
  <c r="G8" i="4"/>
  <c r="G9" i="4"/>
  <c r="G10" i="4"/>
  <c r="G11" i="4"/>
  <c r="G12" i="4"/>
  <c r="G13" i="4"/>
  <c r="G4" i="4"/>
  <c r="F5" i="4"/>
  <c r="F6" i="4"/>
  <c r="F7" i="4"/>
  <c r="F8" i="4"/>
  <c r="F9" i="4"/>
  <c r="F10" i="4"/>
  <c r="F11" i="4"/>
  <c r="F12" i="4"/>
  <c r="F13" i="4"/>
  <c r="E5" i="4"/>
  <c r="E6" i="4"/>
  <c r="E7" i="4"/>
  <c r="E8" i="4"/>
  <c r="E9" i="4"/>
  <c r="E10" i="4"/>
  <c r="E11" i="4"/>
  <c r="E12" i="4"/>
  <c r="E13" i="4"/>
  <c r="E4" i="4"/>
  <c r="D5" i="4"/>
  <c r="D6" i="4"/>
  <c r="F4" i="4" s="1"/>
  <c r="D7" i="4"/>
  <c r="D8" i="4"/>
  <c r="D9" i="4"/>
  <c r="D10" i="4"/>
  <c r="D11" i="4"/>
  <c r="D12" i="4"/>
  <c r="D13" i="4"/>
  <c r="D4" i="4"/>
  <c r="D17" i="4"/>
  <c r="C5" i="4"/>
  <c r="C6" i="4"/>
  <c r="C7" i="4"/>
  <c r="C8" i="4"/>
  <c r="C9" i="4"/>
  <c r="C10" i="4"/>
  <c r="C11" i="4"/>
  <c r="C12" i="4"/>
  <c r="C13" i="4"/>
  <c r="C4" i="4"/>
  <c r="E16" i="6"/>
  <c r="C7" i="6"/>
  <c r="C8" i="6"/>
  <c r="C9" i="6"/>
  <c r="C10" i="6"/>
  <c r="C11" i="6"/>
  <c r="C12" i="6"/>
  <c r="C13" i="6"/>
  <c r="C4" i="6"/>
  <c r="B5" i="6"/>
  <c r="B6" i="6"/>
  <c r="B7" i="6"/>
  <c r="D7" i="6" s="1"/>
  <c r="B8" i="6"/>
  <c r="D8" i="6" s="1"/>
  <c r="B9" i="6"/>
  <c r="D9" i="6" s="1"/>
  <c r="B10" i="6"/>
  <c r="B11" i="6"/>
  <c r="B12" i="6"/>
  <c r="B13" i="6"/>
  <c r="B4" i="6"/>
  <c r="C17" i="6"/>
  <c r="C5" i="6" s="1"/>
  <c r="C16" i="6"/>
  <c r="F12" i="5"/>
  <c r="F11" i="5"/>
  <c r="F10" i="5"/>
  <c r="F9" i="5"/>
  <c r="F8" i="5"/>
  <c r="F7" i="5"/>
  <c r="F6" i="5"/>
  <c r="C6" i="5"/>
  <c r="C7" i="5"/>
  <c r="C8" i="5"/>
  <c r="C9" i="5"/>
  <c r="C10" i="5"/>
  <c r="C11" i="5"/>
  <c r="C12" i="5"/>
  <c r="C13" i="5"/>
  <c r="C5" i="5"/>
  <c r="D15" i="4" l="1"/>
  <c r="D4" i="6"/>
  <c r="D13" i="6"/>
  <c r="D12" i="6"/>
  <c r="D11" i="6"/>
  <c r="D10" i="6"/>
  <c r="D5" i="6"/>
  <c r="C6" i="6"/>
  <c r="D6" i="6" s="1"/>
  <c r="D16" i="11" l="1"/>
  <c r="D15" i="11"/>
  <c r="D14" i="11"/>
  <c r="D13" i="11"/>
  <c r="D12" i="11"/>
  <c r="F5" i="11"/>
  <c r="F6" i="11"/>
  <c r="F7" i="11"/>
  <c r="F8" i="11"/>
  <c r="F9" i="11"/>
  <c r="F10" i="11"/>
  <c r="F4" i="11"/>
  <c r="E5" i="11"/>
  <c r="E6" i="11"/>
  <c r="E7" i="11"/>
  <c r="E8" i="11"/>
  <c r="E9" i="11"/>
  <c r="E10" i="11"/>
  <c r="E4" i="11"/>
  <c r="D5" i="11"/>
  <c r="D6" i="11"/>
  <c r="D7" i="11"/>
  <c r="D8" i="11"/>
  <c r="D9" i="11"/>
  <c r="D10" i="11"/>
  <c r="D4" i="11"/>
  <c r="C4" i="11"/>
  <c r="C5" i="11"/>
  <c r="C6" i="11"/>
  <c r="C7" i="11"/>
  <c r="C8" i="11"/>
  <c r="C9" i="11"/>
  <c r="C10" i="11"/>
  <c r="C16" i="10"/>
  <c r="C15" i="10"/>
  <c r="C14" i="10"/>
  <c r="C13" i="10"/>
  <c r="C12" i="10"/>
  <c r="C11" i="10"/>
  <c r="D5" i="10"/>
  <c r="D6" i="10"/>
  <c r="D7" i="10"/>
  <c r="D8" i="10"/>
  <c r="D9" i="10"/>
  <c r="D4" i="10"/>
  <c r="C5" i="10"/>
  <c r="C6" i="10"/>
  <c r="C7" i="10"/>
  <c r="C8" i="10"/>
  <c r="C9" i="10"/>
  <c r="C4" i="10"/>
  <c r="G20" i="9"/>
  <c r="G19" i="9"/>
  <c r="G18" i="9"/>
  <c r="G16" i="9"/>
  <c r="G17" i="9"/>
  <c r="G15" i="9"/>
  <c r="F17" i="9"/>
  <c r="F16" i="9"/>
  <c r="F15" i="9"/>
  <c r="E17" i="9"/>
  <c r="E16" i="9"/>
  <c r="E15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11" i="9"/>
  <c r="F24" i="8"/>
  <c r="F23" i="8"/>
  <c r="F22" i="8"/>
  <c r="F20" i="8"/>
  <c r="F19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F18" i="8"/>
  <c r="F17" i="8"/>
  <c r="C14" i="8"/>
  <c r="E14" i="7"/>
  <c r="E3" i="7"/>
  <c r="F8" i="7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4" i="3"/>
  <c r="D4" i="3" s="1"/>
  <c r="G6" i="3" s="1"/>
  <c r="E5" i="2"/>
  <c r="E4" i="2"/>
  <c r="B6" i="2"/>
  <c r="B7" i="2"/>
  <c r="B8" i="2"/>
  <c r="B9" i="2"/>
  <c r="B10" i="2"/>
  <c r="B11" i="2"/>
  <c r="B12" i="2"/>
  <c r="B13" i="2"/>
  <c r="B5" i="2"/>
  <c r="D5" i="1"/>
  <c r="D6" i="1"/>
  <c r="D7" i="1"/>
  <c r="D8" i="1"/>
  <c r="D9" i="1"/>
  <c r="D10" i="1"/>
  <c r="D11" i="1"/>
  <c r="D12" i="1"/>
  <c r="D13" i="1"/>
  <c r="D4" i="1"/>
  <c r="G11" i="1"/>
  <c r="G10" i="1"/>
  <c r="G9" i="1"/>
  <c r="G8" i="1"/>
  <c r="G7" i="1"/>
  <c r="E8" i="7" l="1"/>
  <c r="E7" i="7"/>
  <c r="F7" i="7"/>
  <c r="G4" i="3"/>
  <c r="G5" i="3"/>
  <c r="E7" i="2"/>
  <c r="E6" i="2"/>
  <c r="E9" i="2" s="1"/>
  <c r="E8" i="2"/>
  <c r="E10" i="2" s="1"/>
  <c r="G10" i="7" l="1"/>
  <c r="G7" i="3"/>
  <c r="G8" i="3" s="1"/>
</calcChain>
</file>

<file path=xl/sharedStrings.xml><?xml version="1.0" encoding="utf-8"?>
<sst xmlns="http://schemas.openxmlformats.org/spreadsheetml/2006/main" count="152" uniqueCount="113">
  <si>
    <t>Data</t>
  </si>
  <si>
    <t>Metric</t>
  </si>
  <si>
    <t>Value</t>
  </si>
  <si>
    <t>Min</t>
  </si>
  <si>
    <t>Q1 (25%)</t>
  </si>
  <si>
    <t>Median (Q2)</t>
  </si>
  <si>
    <t>Q3 (75%)</t>
  </si>
  <si>
    <t>Max</t>
  </si>
  <si>
    <t>Quantiles</t>
  </si>
  <si>
    <t>Rank(i)</t>
  </si>
  <si>
    <t>EDF</t>
  </si>
  <si>
    <t>Sequence</t>
  </si>
  <si>
    <t>H</t>
  </si>
  <si>
    <t>T</t>
  </si>
  <si>
    <t>Run count</t>
  </si>
  <si>
    <t>n1 (Heads)</t>
  </si>
  <si>
    <t>n2 (Tails)</t>
  </si>
  <si>
    <t>Total (N)</t>
  </si>
  <si>
    <t>Runs (R)</t>
  </si>
  <si>
    <t>Expected Mean (E)</t>
  </si>
  <si>
    <t>Variance (V)</t>
  </si>
  <si>
    <t>Z Statistic (Zcal)</t>
  </si>
  <si>
    <t>Critical Value (Ztab) at 5%</t>
  </si>
  <si>
    <t>Before</t>
  </si>
  <si>
    <t>After</t>
  </si>
  <si>
    <t>Sign (di)</t>
  </si>
  <si>
    <t>Difference (di)</t>
  </si>
  <si>
    <t>Positives (+1)</t>
  </si>
  <si>
    <t>Negatives (-1)</t>
  </si>
  <si>
    <t>Total Trials (n)</t>
  </si>
  <si>
    <t>Test Statistic (k)</t>
  </si>
  <si>
    <t>Formula</t>
  </si>
  <si>
    <t>P-value (binom.dist)</t>
  </si>
  <si>
    <t>Obtaining quantile and Empirical Distribution</t>
  </si>
  <si>
    <t xml:space="preserve">Test for randomness </t>
  </si>
  <si>
    <t>Sign Test</t>
  </si>
  <si>
    <t>Median test</t>
  </si>
  <si>
    <t>Group1</t>
  </si>
  <si>
    <t>Group2</t>
  </si>
  <si>
    <t>Kruskal-Wallis One-Way ANOVA</t>
  </si>
  <si>
    <t xml:space="preserve">Group1 </t>
  </si>
  <si>
    <t>Group3</t>
  </si>
  <si>
    <t>Kendall's Tau Coefficient</t>
  </si>
  <si>
    <t>X</t>
  </si>
  <si>
    <t>Y</t>
  </si>
  <si>
    <t>Spearman's Rank Correlation</t>
  </si>
  <si>
    <t xml:space="preserve">Pooled Median </t>
  </si>
  <si>
    <t>&gt;Median</t>
  </si>
  <si>
    <t>&lt;=Median</t>
  </si>
  <si>
    <t>Category</t>
  </si>
  <si>
    <t>Observed 2X2 Table</t>
  </si>
  <si>
    <t xml:space="preserve">Expected Table </t>
  </si>
  <si>
    <t>p-value</t>
  </si>
  <si>
    <t>Group</t>
  </si>
  <si>
    <t>Rank</t>
  </si>
  <si>
    <t>n1</t>
  </si>
  <si>
    <t>n2</t>
  </si>
  <si>
    <t>R1(Sum Group1)</t>
  </si>
  <si>
    <t>R2 (Sum Group2)</t>
  </si>
  <si>
    <t>U1</t>
  </si>
  <si>
    <t>U2</t>
  </si>
  <si>
    <t>U</t>
  </si>
  <si>
    <t>Mann-Whitney's U Test</t>
  </si>
  <si>
    <t>Values</t>
  </si>
  <si>
    <t>Count(n)</t>
  </si>
  <si>
    <t>(R^2)/n</t>
  </si>
  <si>
    <t>Sum of Ranks (R)</t>
  </si>
  <si>
    <t>N</t>
  </si>
  <si>
    <t>Discordant (D)</t>
  </si>
  <si>
    <t>Concordant (C)</t>
  </si>
  <si>
    <t>SUM C</t>
  </si>
  <si>
    <t>SUM D</t>
  </si>
  <si>
    <t>Numer (S)</t>
  </si>
  <si>
    <t xml:space="preserve">n </t>
  </si>
  <si>
    <t>Total Pairs</t>
  </si>
  <si>
    <t>Tau</t>
  </si>
  <si>
    <t>Rank X</t>
  </si>
  <si>
    <t>Rank Y</t>
  </si>
  <si>
    <t>d²</t>
  </si>
  <si>
    <t>d (Rx-Ry)</t>
  </si>
  <si>
    <t>Sum d²</t>
  </si>
  <si>
    <t>n</t>
  </si>
  <si>
    <t>Numerator</t>
  </si>
  <si>
    <t>Denominator</t>
  </si>
  <si>
    <t>Rho(ρ)</t>
  </si>
  <si>
    <t>Wilcoxon Signed Rank Test</t>
  </si>
  <si>
    <t>Wald-Wolfowitz Runs Test</t>
  </si>
  <si>
    <t xml:space="preserve">Value </t>
  </si>
  <si>
    <t>A</t>
  </si>
  <si>
    <t>B</t>
  </si>
  <si>
    <t>Kolmogorov-Smirnov One-Sample Test</t>
  </si>
  <si>
    <t>Runs</t>
  </si>
  <si>
    <t>n1 (Group A)</t>
  </si>
  <si>
    <t>n2 (Group B)</t>
  </si>
  <si>
    <t>N (Total)</t>
  </si>
  <si>
    <t>Mean E(R)</t>
  </si>
  <si>
    <t>Variance (R)</t>
  </si>
  <si>
    <t>Z Statistics</t>
  </si>
  <si>
    <t>Mean</t>
  </si>
  <si>
    <t>SD</t>
  </si>
  <si>
    <t>Theoretical CDF</t>
  </si>
  <si>
    <t>D(Absolute Difference)</t>
  </si>
  <si>
    <t>D Statistics</t>
  </si>
  <si>
    <t>Difference (d)</t>
  </si>
  <si>
    <t>Abs Diff |d|</t>
  </si>
  <si>
    <t>+'ve Ranks</t>
  </si>
  <si>
    <t>Sum +ve Ranks (T+)</t>
  </si>
  <si>
    <t>Sum -ve Ranks (T-)</t>
  </si>
  <si>
    <t>n (Count)</t>
  </si>
  <si>
    <t>Test Stat (W)</t>
  </si>
  <si>
    <t>-'ve Ranks</t>
  </si>
  <si>
    <t>Mean E(T)</t>
  </si>
  <si>
    <t>Variance V(T)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</si>
</sst>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theme="1"/>
      <name val="Arial"/>
      <family val="2"/>
    </font>
    <font>
      <sz val="10"/>
      <color rgb="FF444746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'1'!$D$3</c:f>
              <c:strCache>
                <c:ptCount val="1"/>
                <c:pt idx="0">
                  <c:v>EDF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'1'!$B$4:$B$13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'1'!$D$4:$D$13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6-44D4-9C81-8A2FFDF40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665696"/>
        <c:axId val="1178948496"/>
      </c:scatterChart>
      <c:valAx>
        <c:axId val="116766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48496"/>
        <c:crosses val="autoZero"/>
        <c:crossBetween val="midCat"/>
      </c:valAx>
      <c:valAx>
        <c:axId val="11789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6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14</xdr:row>
      <xdr:rowOff>72390</xdr:rowOff>
    </xdr:from>
    <xdr:to>
      <xdr:col>7</xdr:col>
      <xdr:colOff>7620</xdr:colOff>
      <xdr:row>30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5BA7B-1A46-4B25-A4B3-8C9F75203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15E7-BC40-4C57-A627-3E6681723DBD}">
  <dimension ref="A1:H13"/>
  <sheetViews>
    <sheetView workbookViewId="0">
      <selection activeCell="I15" sqref="I15"/>
    </sheetView>
  </sheetViews>
  <sheetFormatPr defaultRowHeight="13.8" x14ac:dyDescent="0.25"/>
  <cols>
    <col min="1" max="5" width="8.88671875" style="3"/>
    <col min="6" max="6" width="17.5546875" style="3" customWidth="1"/>
    <col min="7" max="7" width="11.44140625" style="3" customWidth="1"/>
    <col min="8" max="16384" width="8.88671875" style="3"/>
  </cols>
  <sheetData>
    <row r="1" spans="1:8" ht="20.399999999999999" x14ac:dyDescent="0.35">
      <c r="A1" s="9" t="s">
        <v>33</v>
      </c>
      <c r="B1" s="8"/>
      <c r="C1" s="8"/>
      <c r="D1" s="8"/>
      <c r="E1" s="8"/>
      <c r="F1" s="8"/>
      <c r="G1" s="8"/>
      <c r="H1" s="8"/>
    </row>
    <row r="2" spans="1:8" ht="20.399999999999999" x14ac:dyDescent="0.35">
      <c r="A2" s="10"/>
    </row>
    <row r="3" spans="1:8" x14ac:dyDescent="0.25">
      <c r="B3" s="3" t="s">
        <v>0</v>
      </c>
      <c r="C3" s="3" t="s">
        <v>9</v>
      </c>
      <c r="D3" s="3" t="s">
        <v>10</v>
      </c>
    </row>
    <row r="4" spans="1:8" ht="14.4" thickBot="1" x14ac:dyDescent="0.3">
      <c r="B4" s="3">
        <v>5</v>
      </c>
      <c r="C4" s="3">
        <v>1</v>
      </c>
      <c r="D4" s="3">
        <f>C4/COUNT($B$4:$B$13)</f>
        <v>0.1</v>
      </c>
    </row>
    <row r="5" spans="1:8" ht="15" customHeight="1" thickBot="1" x14ac:dyDescent="0.3">
      <c r="B5" s="3">
        <v>6</v>
      </c>
      <c r="C5" s="3">
        <v>2</v>
      </c>
      <c r="D5" s="3">
        <f t="shared" ref="D5:D13" si="0">C5/COUNT($B$4:$B$13)</f>
        <v>0.2</v>
      </c>
      <c r="E5" s="5" t="s">
        <v>8</v>
      </c>
      <c r="F5" s="6"/>
      <c r="G5" s="7"/>
    </row>
    <row r="6" spans="1:8" ht="14.4" thickBot="1" x14ac:dyDescent="0.3">
      <c r="B6" s="3">
        <v>7</v>
      </c>
      <c r="C6" s="3">
        <v>3</v>
      </c>
      <c r="D6" s="3">
        <f t="shared" si="0"/>
        <v>0.3</v>
      </c>
      <c r="E6" s="2">
        <v>1</v>
      </c>
      <c r="F6" s="2" t="s">
        <v>1</v>
      </c>
      <c r="G6" s="2" t="s">
        <v>2</v>
      </c>
    </row>
    <row r="7" spans="1:8" ht="14.4" thickBot="1" x14ac:dyDescent="0.3">
      <c r="B7" s="3">
        <v>8</v>
      </c>
      <c r="C7" s="3">
        <v>4</v>
      </c>
      <c r="D7" s="3">
        <f t="shared" si="0"/>
        <v>0.4</v>
      </c>
      <c r="E7" s="2">
        <v>2</v>
      </c>
      <c r="F7" s="1" t="s">
        <v>3</v>
      </c>
      <c r="G7" s="4">
        <f>MIN(B4:B13)</f>
        <v>5</v>
      </c>
    </row>
    <row r="8" spans="1:8" ht="14.4" thickBot="1" x14ac:dyDescent="0.3">
      <c r="B8" s="3">
        <v>9</v>
      </c>
      <c r="C8" s="3">
        <v>5</v>
      </c>
      <c r="D8" s="3">
        <f t="shared" si="0"/>
        <v>0.5</v>
      </c>
      <c r="E8" s="2">
        <v>3</v>
      </c>
      <c r="F8" s="1" t="s">
        <v>4</v>
      </c>
      <c r="G8" s="4">
        <f>_xlfn.QUARTILE.INC(B4:B13, 1)</f>
        <v>7.25</v>
      </c>
    </row>
    <row r="9" spans="1:8" ht="14.4" thickBot="1" x14ac:dyDescent="0.3">
      <c r="B9" s="3">
        <v>10</v>
      </c>
      <c r="C9" s="3">
        <v>6</v>
      </c>
      <c r="D9" s="3">
        <f t="shared" si="0"/>
        <v>0.6</v>
      </c>
      <c r="E9" s="2">
        <v>4</v>
      </c>
      <c r="F9" s="1" t="s">
        <v>5</v>
      </c>
      <c r="G9" s="4">
        <f>MEDIAN(B4:B13)</f>
        <v>9.5</v>
      </c>
    </row>
    <row r="10" spans="1:8" ht="14.4" thickBot="1" x14ac:dyDescent="0.3">
      <c r="B10" s="3">
        <v>11</v>
      </c>
      <c r="C10" s="3">
        <v>7</v>
      </c>
      <c r="D10" s="3">
        <f t="shared" si="0"/>
        <v>0.7</v>
      </c>
      <c r="E10" s="2">
        <v>5</v>
      </c>
      <c r="F10" s="1" t="s">
        <v>6</v>
      </c>
      <c r="G10" s="4">
        <f>_xlfn.QUARTILE.INC(B4:B13, 3)</f>
        <v>11.75</v>
      </c>
    </row>
    <row r="11" spans="1:8" ht="14.4" thickBot="1" x14ac:dyDescent="0.3">
      <c r="B11" s="3">
        <v>12</v>
      </c>
      <c r="C11" s="3">
        <v>8</v>
      </c>
      <c r="D11" s="3">
        <f t="shared" si="0"/>
        <v>0.8</v>
      </c>
      <c r="E11" s="2">
        <v>6</v>
      </c>
      <c r="F11" s="1" t="s">
        <v>7</v>
      </c>
      <c r="G11" s="4">
        <f>MAX(B4:B13)</f>
        <v>14</v>
      </c>
    </row>
    <row r="12" spans="1:8" x14ac:dyDescent="0.25">
      <c r="B12" s="3">
        <v>13</v>
      </c>
      <c r="C12" s="3">
        <v>9</v>
      </c>
      <c r="D12" s="3">
        <f t="shared" si="0"/>
        <v>0.9</v>
      </c>
    </row>
    <row r="13" spans="1:8" x14ac:dyDescent="0.25">
      <c r="B13" s="3">
        <v>14</v>
      </c>
      <c r="C13" s="3">
        <v>10</v>
      </c>
      <c r="D13" s="3">
        <f t="shared" si="0"/>
        <v>1</v>
      </c>
    </row>
  </sheetData>
  <sortState xmlns:xlrd2="http://schemas.microsoft.com/office/spreadsheetml/2017/richdata2" ref="B4:B13">
    <sortCondition ref="B4:B13"/>
  </sortState>
  <mergeCells count="2">
    <mergeCell ref="E5:G5"/>
    <mergeCell ref="A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F2D9-E6E0-4AAD-BE27-26691060A1BA}">
  <dimension ref="A1:E13"/>
  <sheetViews>
    <sheetView workbookViewId="0">
      <selection activeCell="B15" sqref="B15"/>
    </sheetView>
  </sheetViews>
  <sheetFormatPr defaultRowHeight="13.8" x14ac:dyDescent="0.25"/>
  <cols>
    <col min="1" max="1" width="10.44140625" style="3" customWidth="1"/>
    <col min="2" max="2" width="14.5546875" style="3" customWidth="1"/>
    <col min="3" max="3" width="8.88671875" style="3"/>
    <col min="4" max="4" width="25.44140625" style="3" customWidth="1"/>
    <col min="5" max="5" width="12.21875" style="3" customWidth="1"/>
    <col min="6" max="16384" width="8.88671875" style="3"/>
  </cols>
  <sheetData>
    <row r="1" spans="1:5" s="12" customFormat="1" ht="20.399999999999999" x14ac:dyDescent="0.35">
      <c r="A1" s="11" t="s">
        <v>34</v>
      </c>
    </row>
    <row r="2" spans="1:5" s="14" customFormat="1" ht="20.399999999999999" x14ac:dyDescent="0.35">
      <c r="A2" s="13"/>
    </row>
    <row r="3" spans="1:5" x14ac:dyDescent="0.25">
      <c r="A3" s="3" t="s">
        <v>11</v>
      </c>
      <c r="B3" s="3" t="s">
        <v>14</v>
      </c>
      <c r="E3" s="3" t="s">
        <v>31</v>
      </c>
    </row>
    <row r="4" spans="1:5" x14ac:dyDescent="0.25">
      <c r="A4" s="3" t="s">
        <v>12</v>
      </c>
      <c r="B4" s="3">
        <v>1</v>
      </c>
      <c r="D4" s="3" t="s">
        <v>15</v>
      </c>
      <c r="E4" s="3">
        <f>COUNTIF(A4:A13, "H")</f>
        <v>5</v>
      </c>
    </row>
    <row r="5" spans="1:5" x14ac:dyDescent="0.25">
      <c r="A5" s="3" t="s">
        <v>13</v>
      </c>
      <c r="B5" s="3">
        <f>IF(A5=A4, 0, 1)</f>
        <v>1</v>
      </c>
      <c r="D5" s="3" t="s">
        <v>16</v>
      </c>
      <c r="E5" s="3">
        <f>COUNTIF(A4:A13, "T")</f>
        <v>5</v>
      </c>
    </row>
    <row r="6" spans="1:5" x14ac:dyDescent="0.25">
      <c r="A6" s="3" t="s">
        <v>12</v>
      </c>
      <c r="B6" s="3">
        <f t="shared" ref="B6:B13" si="0">IF(A6=A5, 0, 1)</f>
        <v>1</v>
      </c>
      <c r="D6" s="3" t="s">
        <v>17</v>
      </c>
      <c r="E6" s="3">
        <f>E4+E5</f>
        <v>10</v>
      </c>
    </row>
    <row r="7" spans="1:5" x14ac:dyDescent="0.25">
      <c r="A7" s="3" t="s">
        <v>13</v>
      </c>
      <c r="B7" s="3">
        <f t="shared" si="0"/>
        <v>1</v>
      </c>
      <c r="D7" s="3" t="s">
        <v>18</v>
      </c>
      <c r="E7" s="3">
        <f>SUM(B4:B13)</f>
        <v>8</v>
      </c>
    </row>
    <row r="8" spans="1:5" x14ac:dyDescent="0.25">
      <c r="A8" s="3" t="s">
        <v>13</v>
      </c>
      <c r="B8" s="3">
        <f t="shared" si="0"/>
        <v>0</v>
      </c>
      <c r="D8" s="3" t="s">
        <v>19</v>
      </c>
      <c r="E8" s="3">
        <f>(2*E4*E5)/E6 + 1</f>
        <v>6</v>
      </c>
    </row>
    <row r="9" spans="1:5" x14ac:dyDescent="0.25">
      <c r="A9" s="3" t="s">
        <v>12</v>
      </c>
      <c r="B9" s="3">
        <f t="shared" si="0"/>
        <v>1</v>
      </c>
      <c r="D9" s="3" t="s">
        <v>20</v>
      </c>
      <c r="E9" s="3">
        <f>(2*E4*E5*(2*E4*E5-E4-E5))/((E6^2)*(E6-1))</f>
        <v>2.2222222222222223</v>
      </c>
    </row>
    <row r="10" spans="1:5" x14ac:dyDescent="0.25">
      <c r="A10" s="3" t="s">
        <v>12</v>
      </c>
      <c r="B10" s="3">
        <f t="shared" si="0"/>
        <v>0</v>
      </c>
      <c r="D10" s="3" t="s">
        <v>21</v>
      </c>
      <c r="E10" s="3">
        <f>(E7-E8)/SQRT(E9)</f>
        <v>1.3416407864998738</v>
      </c>
    </row>
    <row r="11" spans="1:5" x14ac:dyDescent="0.25">
      <c r="A11" s="3" t="s">
        <v>13</v>
      </c>
      <c r="B11" s="3">
        <f t="shared" si="0"/>
        <v>1</v>
      </c>
      <c r="D11" s="3" t="s">
        <v>22</v>
      </c>
      <c r="E11" s="3">
        <v>1.96</v>
      </c>
    </row>
    <row r="12" spans="1:5" x14ac:dyDescent="0.25">
      <c r="A12" s="3" t="s">
        <v>12</v>
      </c>
      <c r="B12" s="3">
        <f t="shared" si="0"/>
        <v>1</v>
      </c>
    </row>
    <row r="13" spans="1:5" x14ac:dyDescent="0.25">
      <c r="A13" s="3" t="s">
        <v>13</v>
      </c>
      <c r="B13" s="3">
        <f t="shared" si="0"/>
        <v>1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A4BB-C82E-4CB5-B3C4-6516E5D4DDCA}">
  <dimension ref="A1:G13"/>
  <sheetViews>
    <sheetView workbookViewId="0">
      <selection activeCell="D4" sqref="D4"/>
    </sheetView>
  </sheetViews>
  <sheetFormatPr defaultRowHeight="13.8" x14ac:dyDescent="0.25"/>
  <cols>
    <col min="1" max="2" width="8.88671875" style="3"/>
    <col min="3" max="3" width="14.21875" style="3" customWidth="1"/>
    <col min="4" max="5" width="8.88671875" style="3"/>
    <col min="6" max="6" width="19.6640625" style="3" customWidth="1"/>
    <col min="7" max="7" width="15.88671875" style="3" customWidth="1"/>
    <col min="8" max="16384" width="8.88671875" style="3"/>
  </cols>
  <sheetData>
    <row r="1" spans="1:7" ht="20.399999999999999" x14ac:dyDescent="0.35">
      <c r="A1" s="9" t="s">
        <v>35</v>
      </c>
      <c r="B1" s="8"/>
      <c r="C1" s="8"/>
      <c r="D1" s="8"/>
      <c r="E1" s="8"/>
      <c r="F1" s="8"/>
    </row>
    <row r="2" spans="1:7" ht="20.399999999999999" x14ac:dyDescent="0.35">
      <c r="A2" s="10"/>
    </row>
    <row r="3" spans="1:7" x14ac:dyDescent="0.25">
      <c r="A3" s="3" t="s">
        <v>23</v>
      </c>
      <c r="B3" s="3" t="s">
        <v>24</v>
      </c>
      <c r="C3" s="3" t="s">
        <v>26</v>
      </c>
      <c r="D3" s="3" t="s">
        <v>25</v>
      </c>
      <c r="G3" s="3" t="s">
        <v>31</v>
      </c>
    </row>
    <row r="4" spans="1:7" x14ac:dyDescent="0.25">
      <c r="A4" s="3">
        <v>45</v>
      </c>
      <c r="B4" s="3">
        <v>50</v>
      </c>
      <c r="C4" s="3">
        <f>A4-B4</f>
        <v>-5</v>
      </c>
      <c r="D4" s="3">
        <f>IF(C4&gt;0, 1, IF(C4&lt;0, -1, ""))</f>
        <v>-1</v>
      </c>
      <c r="F4" s="3" t="s">
        <v>27</v>
      </c>
      <c r="G4" s="3">
        <f>COUNTIF(D4:D13, 1)</f>
        <v>3</v>
      </c>
    </row>
    <row r="5" spans="1:7" x14ac:dyDescent="0.25">
      <c r="A5" s="3">
        <v>52</v>
      </c>
      <c r="B5" s="3">
        <v>47</v>
      </c>
      <c r="C5" s="3">
        <f t="shared" ref="C5:C13" si="0">A5-B5</f>
        <v>5</v>
      </c>
      <c r="D5" s="3">
        <f t="shared" ref="D5:D13" si="1">IF(C5&gt;0, 1, IF(C5&lt;0, -1, ""))</f>
        <v>1</v>
      </c>
      <c r="F5" s="3" t="s">
        <v>28</v>
      </c>
      <c r="G5" s="3">
        <f>COUNTIF(D4:D13, -1)</f>
        <v>6</v>
      </c>
    </row>
    <row r="6" spans="1:7" x14ac:dyDescent="0.25">
      <c r="A6" s="3">
        <v>56</v>
      </c>
      <c r="B6" s="3">
        <v>56</v>
      </c>
      <c r="C6" s="3">
        <f t="shared" si="0"/>
        <v>0</v>
      </c>
      <c r="D6" s="3" t="str">
        <f t="shared" si="1"/>
        <v/>
      </c>
      <c r="F6" s="3" t="s">
        <v>29</v>
      </c>
      <c r="G6" s="3">
        <f>COUNT(D4:D13)</f>
        <v>9</v>
      </c>
    </row>
    <row r="7" spans="1:7" x14ac:dyDescent="0.25">
      <c r="A7" s="3">
        <v>48</v>
      </c>
      <c r="B7" s="3">
        <v>52</v>
      </c>
      <c r="C7" s="3">
        <f t="shared" si="0"/>
        <v>-4</v>
      </c>
      <c r="D7" s="3">
        <f t="shared" si="1"/>
        <v>-1</v>
      </c>
      <c r="F7" s="3" t="s">
        <v>30</v>
      </c>
      <c r="G7" s="3">
        <f xml:space="preserve"> MIN(G4, G5)</f>
        <v>3</v>
      </c>
    </row>
    <row r="8" spans="1:7" x14ac:dyDescent="0.25">
      <c r="A8" s="3">
        <v>49</v>
      </c>
      <c r="B8" s="3">
        <v>51</v>
      </c>
      <c r="C8" s="3">
        <f t="shared" si="0"/>
        <v>-2</v>
      </c>
      <c r="D8" s="3">
        <f t="shared" si="1"/>
        <v>-1</v>
      </c>
      <c r="F8" s="3" t="s">
        <v>32</v>
      </c>
      <c r="G8" s="3">
        <f>2*_xlfn.BINOM.DIST(G7, G6, 0.5, TRUE)</f>
        <v>0.5078125</v>
      </c>
    </row>
    <row r="9" spans="1:7" x14ac:dyDescent="0.25">
      <c r="A9" s="3">
        <v>50</v>
      </c>
      <c r="B9" s="3">
        <v>49</v>
      </c>
      <c r="C9" s="3">
        <f t="shared" si="0"/>
        <v>1</v>
      </c>
      <c r="D9" s="3">
        <f t="shared" si="1"/>
        <v>1</v>
      </c>
    </row>
    <row r="10" spans="1:7" x14ac:dyDescent="0.25">
      <c r="A10" s="3">
        <v>55</v>
      </c>
      <c r="B10" s="3">
        <v>58</v>
      </c>
      <c r="C10" s="3">
        <f t="shared" si="0"/>
        <v>-3</v>
      </c>
      <c r="D10" s="3">
        <f t="shared" si="1"/>
        <v>-1</v>
      </c>
    </row>
    <row r="11" spans="1:7" x14ac:dyDescent="0.25">
      <c r="A11" s="3">
        <v>60</v>
      </c>
      <c r="B11" s="3">
        <v>61</v>
      </c>
      <c r="C11" s="3">
        <f t="shared" si="0"/>
        <v>-1</v>
      </c>
      <c r="D11" s="3">
        <f t="shared" si="1"/>
        <v>-1</v>
      </c>
    </row>
    <row r="12" spans="1:7" x14ac:dyDescent="0.25">
      <c r="A12" s="3">
        <v>53</v>
      </c>
      <c r="B12" s="3">
        <v>55</v>
      </c>
      <c r="C12" s="3">
        <f t="shared" si="0"/>
        <v>-2</v>
      </c>
      <c r="D12" s="3">
        <f t="shared" si="1"/>
        <v>-1</v>
      </c>
    </row>
    <row r="13" spans="1:7" x14ac:dyDescent="0.25">
      <c r="A13" s="3">
        <v>51</v>
      </c>
      <c r="B13" s="3">
        <v>50</v>
      </c>
      <c r="C13" s="3">
        <f t="shared" si="0"/>
        <v>1</v>
      </c>
      <c r="D13" s="3">
        <f t="shared" si="1"/>
        <v>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EBD5-AEAF-4C7C-9599-6EC34E6B0846}">
  <dimension ref="A1:G22"/>
  <sheetViews>
    <sheetView workbookViewId="0">
      <selection activeCell="C27" sqref="C27"/>
    </sheetView>
  </sheetViews>
  <sheetFormatPr defaultRowHeight="13.8" x14ac:dyDescent="0.25"/>
  <cols>
    <col min="1" max="2" width="8.88671875" style="3"/>
    <col min="3" max="3" width="18.88671875" style="3" customWidth="1"/>
    <col min="4" max="4" width="10.6640625" style="3" customWidth="1"/>
    <col min="5" max="5" width="8.88671875" style="3"/>
    <col min="6" max="6" width="10.6640625" style="3" customWidth="1"/>
    <col min="7" max="7" width="9.77734375" style="3" customWidth="1"/>
    <col min="8" max="16384" width="8.88671875" style="3"/>
  </cols>
  <sheetData>
    <row r="1" spans="1:7" ht="20.399999999999999" x14ac:dyDescent="0.35">
      <c r="A1" s="9" t="s">
        <v>85</v>
      </c>
      <c r="B1" s="8"/>
      <c r="C1" s="8"/>
      <c r="D1" s="8"/>
      <c r="E1" s="8"/>
      <c r="F1" s="8"/>
    </row>
    <row r="3" spans="1:7" x14ac:dyDescent="0.25">
      <c r="A3" s="3" t="s">
        <v>23</v>
      </c>
      <c r="B3" s="3" t="s">
        <v>24</v>
      </c>
      <c r="C3" s="3" t="s">
        <v>103</v>
      </c>
      <c r="D3" s="3" t="s">
        <v>104</v>
      </c>
      <c r="E3" s="3" t="s">
        <v>54</v>
      </c>
      <c r="F3" s="15" t="s">
        <v>105</v>
      </c>
      <c r="G3" s="15" t="s">
        <v>110</v>
      </c>
    </row>
    <row r="4" spans="1:7" x14ac:dyDescent="0.25">
      <c r="A4" s="3">
        <v>45</v>
      </c>
      <c r="B4" s="3">
        <v>50</v>
      </c>
      <c r="C4" s="3">
        <f>B4-A4</f>
        <v>5</v>
      </c>
      <c r="D4" s="3">
        <f>IF(C4=0,"",ABS(C4))</f>
        <v>5</v>
      </c>
      <c r="E4" s="3">
        <f>IFERROR(_xlfn.RANK.AVG(D4,$D$4:$D$13, 1), "")</f>
        <v>8.5</v>
      </c>
      <c r="F4" s="3">
        <f>IF(C4&gt;0,E4, 0)</f>
        <v>8.5</v>
      </c>
      <c r="G4" s="3">
        <f>IF(C4&lt;0, E4, 0)</f>
        <v>0</v>
      </c>
    </row>
    <row r="5" spans="1:7" x14ac:dyDescent="0.25">
      <c r="A5" s="3">
        <v>52</v>
      </c>
      <c r="B5" s="3">
        <v>47</v>
      </c>
      <c r="C5" s="3">
        <f t="shared" ref="C5:C13" si="0">B5-A5</f>
        <v>-5</v>
      </c>
      <c r="D5" s="3">
        <f t="shared" ref="D5:D13" si="1">IF(C5=0,"",ABS(C5))</f>
        <v>5</v>
      </c>
      <c r="E5" s="3">
        <f t="shared" ref="E5:E13" si="2">IFERROR(_xlfn.RANK.AVG(D5,$D$4:$D$13, 1), "")</f>
        <v>8.5</v>
      </c>
      <c r="F5" s="3">
        <f t="shared" ref="F5:F13" si="3">IF(C5&gt;0,E5, 0)</f>
        <v>0</v>
      </c>
      <c r="G5" s="3">
        <f t="shared" ref="G5:G13" si="4">IF(C5&lt;0, E5, 0)</f>
        <v>8.5</v>
      </c>
    </row>
    <row r="6" spans="1:7" x14ac:dyDescent="0.25">
      <c r="A6" s="3">
        <v>56</v>
      </c>
      <c r="B6" s="3">
        <v>56</v>
      </c>
      <c r="C6" s="3">
        <f t="shared" si="0"/>
        <v>0</v>
      </c>
      <c r="D6" s="3" t="str">
        <f t="shared" si="1"/>
        <v/>
      </c>
      <c r="E6" s="3" t="str">
        <f t="shared" si="2"/>
        <v/>
      </c>
      <c r="F6" s="3">
        <f t="shared" si="3"/>
        <v>0</v>
      </c>
      <c r="G6" s="3">
        <f t="shared" si="4"/>
        <v>0</v>
      </c>
    </row>
    <row r="7" spans="1:7" x14ac:dyDescent="0.25">
      <c r="A7" s="3">
        <v>48</v>
      </c>
      <c r="B7" s="3">
        <v>52</v>
      </c>
      <c r="C7" s="3">
        <f t="shared" si="0"/>
        <v>4</v>
      </c>
      <c r="D7" s="3">
        <f t="shared" si="1"/>
        <v>4</v>
      </c>
      <c r="E7" s="3">
        <f t="shared" si="2"/>
        <v>7</v>
      </c>
      <c r="F7" s="3">
        <f t="shared" si="3"/>
        <v>7</v>
      </c>
      <c r="G7" s="3">
        <f t="shared" si="4"/>
        <v>0</v>
      </c>
    </row>
    <row r="8" spans="1:7" x14ac:dyDescent="0.25">
      <c r="A8" s="3">
        <v>49</v>
      </c>
      <c r="B8" s="3">
        <v>51</v>
      </c>
      <c r="C8" s="3">
        <f t="shared" si="0"/>
        <v>2</v>
      </c>
      <c r="D8" s="3">
        <f t="shared" si="1"/>
        <v>2</v>
      </c>
      <c r="E8" s="3">
        <f t="shared" si="2"/>
        <v>4.5</v>
      </c>
      <c r="F8" s="3">
        <f t="shared" si="3"/>
        <v>4.5</v>
      </c>
      <c r="G8" s="3">
        <f t="shared" si="4"/>
        <v>0</v>
      </c>
    </row>
    <row r="9" spans="1:7" x14ac:dyDescent="0.25">
      <c r="A9" s="3">
        <v>50</v>
      </c>
      <c r="B9" s="3">
        <v>49</v>
      </c>
      <c r="C9" s="3">
        <f t="shared" si="0"/>
        <v>-1</v>
      </c>
      <c r="D9" s="3">
        <f t="shared" si="1"/>
        <v>1</v>
      </c>
      <c r="E9" s="3">
        <f t="shared" si="2"/>
        <v>2</v>
      </c>
      <c r="F9" s="3">
        <f t="shared" si="3"/>
        <v>0</v>
      </c>
      <c r="G9" s="3">
        <f t="shared" si="4"/>
        <v>2</v>
      </c>
    </row>
    <row r="10" spans="1:7" x14ac:dyDescent="0.25">
      <c r="A10" s="3">
        <v>55</v>
      </c>
      <c r="B10" s="3">
        <v>58</v>
      </c>
      <c r="C10" s="3">
        <f t="shared" si="0"/>
        <v>3</v>
      </c>
      <c r="D10" s="3">
        <f t="shared" si="1"/>
        <v>3</v>
      </c>
      <c r="E10" s="3">
        <f t="shared" si="2"/>
        <v>6</v>
      </c>
      <c r="F10" s="3">
        <f t="shared" si="3"/>
        <v>6</v>
      </c>
      <c r="G10" s="3">
        <f t="shared" si="4"/>
        <v>0</v>
      </c>
    </row>
    <row r="11" spans="1:7" x14ac:dyDescent="0.25">
      <c r="A11" s="3">
        <v>60</v>
      </c>
      <c r="B11" s="3">
        <v>61</v>
      </c>
      <c r="C11" s="3">
        <f t="shared" si="0"/>
        <v>1</v>
      </c>
      <c r="D11" s="3">
        <f t="shared" si="1"/>
        <v>1</v>
      </c>
      <c r="E11" s="3">
        <f t="shared" si="2"/>
        <v>2</v>
      </c>
      <c r="F11" s="3">
        <f t="shared" si="3"/>
        <v>2</v>
      </c>
      <c r="G11" s="3">
        <f t="shared" si="4"/>
        <v>0</v>
      </c>
    </row>
    <row r="12" spans="1:7" x14ac:dyDescent="0.25">
      <c r="A12" s="3">
        <v>53</v>
      </c>
      <c r="B12" s="3">
        <v>55</v>
      </c>
      <c r="C12" s="3">
        <f t="shared" si="0"/>
        <v>2</v>
      </c>
      <c r="D12" s="3">
        <f t="shared" si="1"/>
        <v>2</v>
      </c>
      <c r="E12" s="3">
        <f t="shared" si="2"/>
        <v>4.5</v>
      </c>
      <c r="F12" s="3">
        <f t="shared" si="3"/>
        <v>4.5</v>
      </c>
      <c r="G12" s="3">
        <f t="shared" si="4"/>
        <v>0</v>
      </c>
    </row>
    <row r="13" spans="1:7" x14ac:dyDescent="0.25">
      <c r="A13" s="3">
        <v>51</v>
      </c>
      <c r="B13" s="3">
        <v>50</v>
      </c>
      <c r="C13" s="3">
        <f t="shared" si="0"/>
        <v>-1</v>
      </c>
      <c r="D13" s="3">
        <f t="shared" si="1"/>
        <v>1</v>
      </c>
      <c r="E13" s="3">
        <f t="shared" si="2"/>
        <v>2</v>
      </c>
      <c r="F13" s="3">
        <f t="shared" si="3"/>
        <v>0</v>
      </c>
      <c r="G13" s="3">
        <f t="shared" si="4"/>
        <v>2</v>
      </c>
    </row>
    <row r="15" spans="1:7" x14ac:dyDescent="0.25">
      <c r="C15" s="3" t="s">
        <v>106</v>
      </c>
      <c r="D15" s="3">
        <f>SUM(F4:F13)</f>
        <v>32.5</v>
      </c>
    </row>
    <row r="16" spans="1:7" x14ac:dyDescent="0.25">
      <c r="C16" s="3" t="s">
        <v>107</v>
      </c>
      <c r="D16" s="3">
        <f>SUM(G4:G13)</f>
        <v>12.5</v>
      </c>
    </row>
    <row r="17" spans="3:4" x14ac:dyDescent="0.25">
      <c r="C17" s="3" t="s">
        <v>108</v>
      </c>
      <c r="D17" s="3">
        <f>COUNT(D4:D13)</f>
        <v>9</v>
      </c>
    </row>
    <row r="18" spans="3:4" x14ac:dyDescent="0.25">
      <c r="C18" s="3" t="s">
        <v>109</v>
      </c>
      <c r="D18" s="3">
        <f>MIN(D15,D16)</f>
        <v>12.5</v>
      </c>
    </row>
    <row r="20" spans="3:4" x14ac:dyDescent="0.25">
      <c r="C20" s="3" t="s">
        <v>111</v>
      </c>
      <c r="D20" s="3">
        <f>D17*(D17+1)/4</f>
        <v>22.5</v>
      </c>
    </row>
    <row r="21" spans="3:4" x14ac:dyDescent="0.25">
      <c r="C21" s="3" t="s">
        <v>112</v>
      </c>
      <c r="D21" s="3">
        <f>D17 * (D17+ 1) * (2 * D17 + 1) / 24</f>
        <v>71.25</v>
      </c>
    </row>
    <row r="22" spans="3:4" x14ac:dyDescent="0.25">
      <c r="C22" s="3" t="s">
        <v>97</v>
      </c>
      <c r="D22" s="3">
        <f>(D18-D20)/SQRT(D21)</f>
        <v>-1.1846977555181846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02E0-8968-493A-88D0-5C532ED7907A}">
  <dimension ref="A1:F13"/>
  <sheetViews>
    <sheetView workbookViewId="0">
      <selection activeCell="F13" sqref="F13"/>
    </sheetView>
  </sheetViews>
  <sheetFormatPr defaultRowHeight="13.8" x14ac:dyDescent="0.25"/>
  <cols>
    <col min="1" max="4" width="8.88671875" style="3"/>
    <col min="5" max="5" width="13.5546875" style="3" customWidth="1"/>
    <col min="6" max="16384" width="8.88671875" style="3"/>
  </cols>
  <sheetData>
    <row r="1" spans="1:6" ht="20.399999999999999" x14ac:dyDescent="0.35">
      <c r="A1" s="9" t="s">
        <v>86</v>
      </c>
      <c r="B1" s="8"/>
      <c r="C1" s="8"/>
      <c r="D1" s="8"/>
      <c r="E1" s="8"/>
      <c r="F1" s="8"/>
    </row>
    <row r="3" spans="1:6" x14ac:dyDescent="0.25">
      <c r="A3" s="3" t="s">
        <v>87</v>
      </c>
      <c r="B3" s="3" t="s">
        <v>53</v>
      </c>
      <c r="C3" s="3" t="s">
        <v>91</v>
      </c>
    </row>
    <row r="4" spans="1:6" x14ac:dyDescent="0.25">
      <c r="A4" s="3">
        <v>9</v>
      </c>
      <c r="B4" s="3" t="s">
        <v>88</v>
      </c>
      <c r="C4" s="3">
        <v>1</v>
      </c>
    </row>
    <row r="5" spans="1:6" x14ac:dyDescent="0.25">
      <c r="A5" s="3">
        <v>10</v>
      </c>
      <c r="B5" s="3" t="s">
        <v>88</v>
      </c>
      <c r="C5" s="3">
        <f>IF(B4=B5, 0, 1)</f>
        <v>0</v>
      </c>
    </row>
    <row r="6" spans="1:6" x14ac:dyDescent="0.25">
      <c r="A6" s="3">
        <v>11</v>
      </c>
      <c r="B6" s="3" t="s">
        <v>88</v>
      </c>
      <c r="C6" s="3">
        <f t="shared" ref="C6:C13" si="0">IF(B5=B6, 0, 1)</f>
        <v>0</v>
      </c>
      <c r="E6" s="3" t="s">
        <v>92</v>
      </c>
      <c r="F6" s="3">
        <f>COUNTIF(B4:B13, "A")</f>
        <v>5</v>
      </c>
    </row>
    <row r="7" spans="1:6" x14ac:dyDescent="0.25">
      <c r="A7" s="3">
        <v>12</v>
      </c>
      <c r="B7" s="3" t="s">
        <v>88</v>
      </c>
      <c r="C7" s="3">
        <f t="shared" si="0"/>
        <v>0</v>
      </c>
      <c r="E7" s="3" t="s">
        <v>93</v>
      </c>
      <c r="F7" s="3">
        <f>COUNTIF(B4:B13, "B")</f>
        <v>5</v>
      </c>
    </row>
    <row r="8" spans="1:6" x14ac:dyDescent="0.25">
      <c r="A8" s="3">
        <v>13</v>
      </c>
      <c r="B8" s="3" t="s">
        <v>88</v>
      </c>
      <c r="C8" s="3">
        <f t="shared" si="0"/>
        <v>0</v>
      </c>
      <c r="E8" s="3" t="s">
        <v>94</v>
      </c>
      <c r="F8" s="3">
        <f>F6+F7</f>
        <v>10</v>
      </c>
    </row>
    <row r="9" spans="1:6" x14ac:dyDescent="0.25">
      <c r="A9" s="3">
        <v>14</v>
      </c>
      <c r="B9" s="3" t="s">
        <v>89</v>
      </c>
      <c r="C9" s="3">
        <f t="shared" si="0"/>
        <v>1</v>
      </c>
      <c r="E9" s="3" t="s">
        <v>18</v>
      </c>
      <c r="F9" s="3">
        <f>SUM(C4:C13)</f>
        <v>2</v>
      </c>
    </row>
    <row r="10" spans="1:6" x14ac:dyDescent="0.25">
      <c r="A10" s="3">
        <v>15</v>
      </c>
      <c r="B10" s="3" t="s">
        <v>89</v>
      </c>
      <c r="C10" s="3">
        <f t="shared" si="0"/>
        <v>0</v>
      </c>
      <c r="E10" s="3" t="s">
        <v>95</v>
      </c>
      <c r="F10" s="3">
        <f>((2*F6*F7)/F8) + 1</f>
        <v>6</v>
      </c>
    </row>
    <row r="11" spans="1:6" x14ac:dyDescent="0.25">
      <c r="A11" s="3">
        <v>16</v>
      </c>
      <c r="B11" s="3" t="s">
        <v>89</v>
      </c>
      <c r="C11" s="3">
        <f t="shared" si="0"/>
        <v>0</v>
      </c>
      <c r="E11" s="3" t="s">
        <v>96</v>
      </c>
      <c r="F11" s="3">
        <f>(2*F6*F7*(2*F6*F7 - F6 - F7)) / (((F6+F7)^2)*(F6+F7-1))</f>
        <v>2.2222222222222223</v>
      </c>
    </row>
    <row r="12" spans="1:6" x14ac:dyDescent="0.25">
      <c r="A12" s="3">
        <v>17</v>
      </c>
      <c r="B12" s="3" t="s">
        <v>89</v>
      </c>
      <c r="C12" s="3">
        <f t="shared" si="0"/>
        <v>0</v>
      </c>
      <c r="E12" s="3" t="s">
        <v>97</v>
      </c>
      <c r="F12" s="3">
        <f>(F9-F10)/SQRT(F11)</f>
        <v>-2.6832815729997477</v>
      </c>
    </row>
    <row r="13" spans="1:6" x14ac:dyDescent="0.25">
      <c r="A13" s="3">
        <v>18</v>
      </c>
      <c r="B13" s="3" t="s">
        <v>89</v>
      </c>
      <c r="C13" s="3">
        <f t="shared" si="0"/>
        <v>0</v>
      </c>
    </row>
  </sheetData>
  <sortState xmlns:xlrd2="http://schemas.microsoft.com/office/spreadsheetml/2017/richdata2" ref="A4:B13">
    <sortCondition ref="A4:A13"/>
  </sortState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AFD3-DE08-40E1-A900-80AC11BBC126}">
  <dimension ref="A1:F18"/>
  <sheetViews>
    <sheetView workbookViewId="0">
      <selection activeCell="E17" sqref="E17"/>
    </sheetView>
  </sheetViews>
  <sheetFormatPr defaultRowHeight="13.8" x14ac:dyDescent="0.25"/>
  <cols>
    <col min="1" max="2" width="8.88671875" style="3"/>
    <col min="3" max="3" width="15.77734375" style="3" customWidth="1"/>
    <col min="4" max="4" width="21.44140625" style="3" customWidth="1"/>
    <col min="5" max="16384" width="8.88671875" style="3"/>
  </cols>
  <sheetData>
    <row r="1" spans="1:6" ht="20.399999999999999" x14ac:dyDescent="0.35">
      <c r="A1" s="9" t="s">
        <v>90</v>
      </c>
      <c r="B1" s="8"/>
      <c r="C1" s="8"/>
      <c r="D1" s="8"/>
      <c r="E1" s="8"/>
      <c r="F1" s="8"/>
    </row>
    <row r="3" spans="1:6" x14ac:dyDescent="0.25">
      <c r="A3" s="3" t="s">
        <v>0</v>
      </c>
      <c r="B3" s="3" t="s">
        <v>10</v>
      </c>
      <c r="C3" s="3" t="s">
        <v>100</v>
      </c>
      <c r="D3" s="3" t="s">
        <v>101</v>
      </c>
    </row>
    <row r="4" spans="1:6" x14ac:dyDescent="0.25">
      <c r="A4" s="3">
        <v>2.1</v>
      </c>
      <c r="B4" s="3">
        <f>(ROW()-3)/$C$18</f>
        <v>0.1</v>
      </c>
      <c r="C4" s="3">
        <f>_xlfn.NORM.DIST(A4,$C$16,$C$17,TRUE)</f>
        <v>4.2816576588920179E-2</v>
      </c>
      <c r="D4" s="3">
        <f>ABS(B4-C4)</f>
        <v>5.7183423411079827E-2</v>
      </c>
    </row>
    <row r="5" spans="1:6" x14ac:dyDescent="0.25">
      <c r="A5" s="3">
        <v>2.4</v>
      </c>
      <c r="B5" s="3">
        <f>(ROW()-3)/$C$18</f>
        <v>0.2</v>
      </c>
      <c r="C5" s="3">
        <f>_xlfn.NORM.DIST(A5,$C$16,$C$17,TRUE)</f>
        <v>9.3558915579969454E-2</v>
      </c>
      <c r="D5" s="3">
        <f t="shared" ref="D5:D13" si="0">ABS(B5-C5)</f>
        <v>0.10644108442003056</v>
      </c>
    </row>
    <row r="6" spans="1:6" x14ac:dyDescent="0.25">
      <c r="A6" s="3">
        <v>3</v>
      </c>
      <c r="B6" s="3">
        <f>(ROW()-3)/$C$18</f>
        <v>0.3</v>
      </c>
      <c r="C6" s="3">
        <f>_xlfn.NORM.DIST(A6,$C$16,$C$17,TRUE)</f>
        <v>0.30164802198159391</v>
      </c>
      <c r="D6" s="3">
        <f t="shared" si="0"/>
        <v>1.6480219815939168E-3</v>
      </c>
    </row>
    <row r="7" spans="1:6" x14ac:dyDescent="0.25">
      <c r="A7" s="3">
        <v>3.2</v>
      </c>
      <c r="B7" s="3">
        <f>(ROW()-3)/$C$18</f>
        <v>0.4</v>
      </c>
      <c r="C7" s="3">
        <f>_xlfn.NORM.DIST(A7,$C$16,$C$17,TRUE)</f>
        <v>0.40006809327272291</v>
      </c>
      <c r="D7" s="3">
        <f t="shared" si="0"/>
        <v>6.8093272722891118E-5</v>
      </c>
    </row>
    <row r="8" spans="1:6" x14ac:dyDescent="0.25">
      <c r="A8" s="3">
        <v>3.3</v>
      </c>
      <c r="B8" s="3">
        <f>(ROW()-3)/$C$18</f>
        <v>0.5</v>
      </c>
      <c r="C8" s="3">
        <f>_xlfn.NORM.DIST(A8,$C$16,$C$17,TRUE)</f>
        <v>0.45227205761476075</v>
      </c>
      <c r="D8" s="3">
        <f t="shared" si="0"/>
        <v>4.7727942385239253E-2</v>
      </c>
    </row>
    <row r="9" spans="1:6" x14ac:dyDescent="0.25">
      <c r="A9" s="3">
        <v>3.5</v>
      </c>
      <c r="B9" s="3">
        <f>(ROW()-3)/$C$18</f>
        <v>0.6</v>
      </c>
      <c r="C9" s="3">
        <f>_xlfn.NORM.DIST(A9,$C$16,$C$17,TRUE)</f>
        <v>0.55826530929130436</v>
      </c>
      <c r="D9" s="3">
        <f t="shared" si="0"/>
        <v>4.1734690708695621E-2</v>
      </c>
    </row>
    <row r="10" spans="1:6" x14ac:dyDescent="0.25">
      <c r="A10" s="3">
        <v>3.8</v>
      </c>
      <c r="B10" s="3">
        <f>(ROW()-3)/$C$18</f>
        <v>0.7</v>
      </c>
      <c r="C10" s="3">
        <f>_xlfn.NORM.DIST(A10,$C$16,$C$17,TRUE)</f>
        <v>0.70757564993690236</v>
      </c>
      <c r="D10" s="3">
        <f t="shared" si="0"/>
        <v>7.5756499369024066E-3</v>
      </c>
    </row>
    <row r="11" spans="1:6" x14ac:dyDescent="0.25">
      <c r="A11" s="3">
        <v>4</v>
      </c>
      <c r="B11" s="3">
        <f>(ROW()-3)/$C$18</f>
        <v>0.8</v>
      </c>
      <c r="C11" s="3">
        <f>_xlfn.NORM.DIST(A11,$C$16,$C$17,TRUE)</f>
        <v>0.79183698555751314</v>
      </c>
      <c r="D11" s="3">
        <f t="shared" si="0"/>
        <v>8.1630144424869044E-3</v>
      </c>
    </row>
    <row r="12" spans="1:6" x14ac:dyDescent="0.25">
      <c r="A12" s="3">
        <v>4.2</v>
      </c>
      <c r="B12" s="3">
        <f>(ROW()-3)/$C$18</f>
        <v>0.9</v>
      </c>
      <c r="C12" s="3">
        <f>_xlfn.NORM.DIST(A12,$C$16,$C$17,TRUE)</f>
        <v>0.85977462762726331</v>
      </c>
      <c r="D12" s="3">
        <f t="shared" si="0"/>
        <v>4.0225372372736712E-2</v>
      </c>
    </row>
    <row r="13" spans="1:6" x14ac:dyDescent="0.25">
      <c r="A13" s="3">
        <v>4.4000000000000004</v>
      </c>
      <c r="B13" s="3">
        <f>(ROW()-3)/$C$18</f>
        <v>1</v>
      </c>
      <c r="C13" s="3">
        <f>_xlfn.NORM.DIST(A13,$C$16,$C$17,TRUE)</f>
        <v>0.91081696656733169</v>
      </c>
      <c r="D13" s="3">
        <f t="shared" si="0"/>
        <v>8.9183033432668313E-2</v>
      </c>
    </row>
    <row r="16" spans="1:6" x14ac:dyDescent="0.25">
      <c r="B16" s="3" t="s">
        <v>98</v>
      </c>
      <c r="C16" s="3">
        <f>AVERAGE(A4:A13)</f>
        <v>3.3899999999999997</v>
      </c>
      <c r="D16" s="3" t="s">
        <v>102</v>
      </c>
      <c r="E16" s="3">
        <f>MAX(D4:D13)</f>
        <v>0.10644108442003056</v>
      </c>
    </row>
    <row r="17" spans="2:3" x14ac:dyDescent="0.25">
      <c r="B17" s="3" t="s">
        <v>99</v>
      </c>
      <c r="C17" s="3">
        <f>_xlfn.STDEV.S(A4:A13)</f>
        <v>0.75048132703100989</v>
      </c>
    </row>
    <row r="18" spans="2:3" x14ac:dyDescent="0.25">
      <c r="B18" s="3" t="s">
        <v>81</v>
      </c>
      <c r="C18" s="3">
        <v>10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4A11-D40E-4DFE-A919-046DB2E9A0AD}">
  <dimension ref="A1:G14"/>
  <sheetViews>
    <sheetView topLeftCell="A4" workbookViewId="0">
      <selection activeCell="E15" sqref="E15"/>
    </sheetView>
  </sheetViews>
  <sheetFormatPr defaultRowHeight="13.8" x14ac:dyDescent="0.25"/>
  <cols>
    <col min="1" max="3" width="8.88671875" style="3"/>
    <col min="4" max="4" width="16.33203125" style="3" customWidth="1"/>
    <col min="5" max="16384" width="8.88671875" style="3"/>
  </cols>
  <sheetData>
    <row r="1" spans="1:7" ht="20.399999999999999" x14ac:dyDescent="0.35">
      <c r="A1" s="9" t="s">
        <v>36</v>
      </c>
      <c r="B1" s="9"/>
      <c r="C1" s="9"/>
      <c r="D1" s="9"/>
      <c r="E1" s="9"/>
      <c r="F1" s="9"/>
    </row>
    <row r="3" spans="1:7" x14ac:dyDescent="0.25">
      <c r="A3" s="3" t="s">
        <v>37</v>
      </c>
      <c r="B3" s="3" t="s">
        <v>38</v>
      </c>
      <c r="D3" s="3" t="s">
        <v>46</v>
      </c>
      <c r="E3" s="3">
        <f>MEDIAN(A4:B11)</f>
        <v>49.5</v>
      </c>
    </row>
    <row r="4" spans="1:7" x14ac:dyDescent="0.25">
      <c r="A4" s="3">
        <v>45</v>
      </c>
      <c r="B4" s="3">
        <v>40</v>
      </c>
    </row>
    <row r="5" spans="1:7" x14ac:dyDescent="0.25">
      <c r="A5" s="3">
        <v>47</v>
      </c>
      <c r="B5" s="3">
        <v>42</v>
      </c>
      <c r="D5" s="8" t="s">
        <v>50</v>
      </c>
      <c r="E5" s="8"/>
      <c r="F5" s="8"/>
    </row>
    <row r="6" spans="1:7" x14ac:dyDescent="0.25">
      <c r="A6" s="3">
        <v>49</v>
      </c>
      <c r="B6" s="3">
        <v>44</v>
      </c>
      <c r="D6" s="3" t="s">
        <v>49</v>
      </c>
      <c r="E6" s="3" t="s">
        <v>37</v>
      </c>
      <c r="F6" s="3" t="s">
        <v>38</v>
      </c>
    </row>
    <row r="7" spans="1:7" x14ac:dyDescent="0.25">
      <c r="A7" s="3">
        <v>50</v>
      </c>
      <c r="B7" s="3">
        <v>46</v>
      </c>
      <c r="D7" s="3" t="s">
        <v>47</v>
      </c>
      <c r="E7" s="3">
        <f>COUNTIF(A4:A11, "&gt;"&amp;$E$3)</f>
        <v>5</v>
      </c>
      <c r="F7" s="3">
        <f>COUNTIF(B4:B11, "&gt;"&amp;$E$3)</f>
        <v>3</v>
      </c>
    </row>
    <row r="8" spans="1:7" x14ac:dyDescent="0.25">
      <c r="A8" s="3">
        <v>52</v>
      </c>
      <c r="B8" s="3">
        <v>48</v>
      </c>
      <c r="D8" s="3" t="s">
        <v>48</v>
      </c>
      <c r="E8" s="3">
        <f>COUNTIF(A4:A11, "&lt;="&amp;$E$3)</f>
        <v>3</v>
      </c>
      <c r="F8" s="3">
        <f>COUNTIF(B4:B11, "&lt;="&amp;$E$3)</f>
        <v>5</v>
      </c>
    </row>
    <row r="9" spans="1:7" x14ac:dyDescent="0.25">
      <c r="A9" s="3">
        <v>54</v>
      </c>
      <c r="B9" s="3">
        <v>51</v>
      </c>
    </row>
    <row r="10" spans="1:7" x14ac:dyDescent="0.25">
      <c r="A10" s="3">
        <v>56</v>
      </c>
      <c r="B10" s="3">
        <v>53</v>
      </c>
      <c r="D10" s="8" t="s">
        <v>51</v>
      </c>
      <c r="E10" s="8"/>
      <c r="F10" s="8"/>
      <c r="G10" s="3">
        <f>(SUM(E7:F7)*SUM(E7:E8))/SUM(E7:F8)</f>
        <v>4</v>
      </c>
    </row>
    <row r="11" spans="1:7" x14ac:dyDescent="0.25">
      <c r="A11" s="3">
        <v>58</v>
      </c>
      <c r="B11" s="3">
        <v>55</v>
      </c>
      <c r="E11" s="3">
        <v>4</v>
      </c>
      <c r="F11" s="3">
        <v>4</v>
      </c>
    </row>
    <row r="12" spans="1:7" x14ac:dyDescent="0.25">
      <c r="E12" s="3">
        <v>4</v>
      </c>
      <c r="F12" s="3">
        <v>4</v>
      </c>
    </row>
    <row r="14" spans="1:7" x14ac:dyDescent="0.25">
      <c r="D14" s="3" t="s">
        <v>52</v>
      </c>
      <c r="E14" s="3">
        <f>_xlfn.CHISQ.TEST(E7:F8, E11:F12)</f>
        <v>0.31731050786291398</v>
      </c>
    </row>
  </sheetData>
  <mergeCells count="3">
    <mergeCell ref="A1:F1"/>
    <mergeCell ref="D5:F5"/>
    <mergeCell ref="D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CC22-5DB9-47EB-8C03-096ECBD7F23E}">
  <dimension ref="A1:F29"/>
  <sheetViews>
    <sheetView workbookViewId="0">
      <selection activeCell="E25" sqref="E25"/>
    </sheetView>
  </sheetViews>
  <sheetFormatPr defaultRowHeight="13.8" x14ac:dyDescent="0.25"/>
  <cols>
    <col min="1" max="3" width="8.88671875" style="3"/>
    <col min="4" max="4" width="4.33203125" style="3" customWidth="1"/>
    <col min="5" max="5" width="20" style="3" customWidth="1"/>
    <col min="6" max="16384" width="8.88671875" style="3"/>
  </cols>
  <sheetData>
    <row r="1" spans="1:6" ht="20.399999999999999" x14ac:dyDescent="0.35">
      <c r="A1" s="9" t="s">
        <v>62</v>
      </c>
      <c r="B1" s="9"/>
      <c r="C1" s="9"/>
      <c r="D1" s="9"/>
      <c r="E1" s="9"/>
      <c r="F1" s="9"/>
    </row>
    <row r="3" spans="1:6" x14ac:dyDescent="0.25">
      <c r="A3" s="3" t="s">
        <v>37</v>
      </c>
      <c r="B3" s="3" t="s">
        <v>38</v>
      </c>
    </row>
    <row r="4" spans="1:6" x14ac:dyDescent="0.25">
      <c r="A4" s="3">
        <v>45</v>
      </c>
      <c r="B4" s="3">
        <v>40</v>
      </c>
    </row>
    <row r="5" spans="1:6" x14ac:dyDescent="0.25">
      <c r="A5" s="3">
        <v>47</v>
      </c>
      <c r="B5" s="3">
        <v>42</v>
      </c>
    </row>
    <row r="6" spans="1:6" x14ac:dyDescent="0.25">
      <c r="A6" s="3">
        <v>49</v>
      </c>
      <c r="B6" s="3">
        <v>44</v>
      </c>
    </row>
    <row r="7" spans="1:6" x14ac:dyDescent="0.25">
      <c r="A7" s="3">
        <v>50</v>
      </c>
      <c r="B7" s="3">
        <v>46</v>
      </c>
    </row>
    <row r="8" spans="1:6" x14ac:dyDescent="0.25">
      <c r="A8" s="3">
        <v>52</v>
      </c>
      <c r="B8" s="3">
        <v>48</v>
      </c>
    </row>
    <row r="9" spans="1:6" x14ac:dyDescent="0.25">
      <c r="A9" s="3">
        <v>54</v>
      </c>
      <c r="B9" s="3">
        <v>51</v>
      </c>
    </row>
    <row r="10" spans="1:6" x14ac:dyDescent="0.25">
      <c r="A10" s="3">
        <v>56</v>
      </c>
      <c r="B10" s="3">
        <v>53</v>
      </c>
    </row>
    <row r="11" spans="1:6" x14ac:dyDescent="0.25">
      <c r="A11" s="3">
        <v>58</v>
      </c>
      <c r="B11" s="3">
        <v>55</v>
      </c>
    </row>
    <row r="13" spans="1:6" x14ac:dyDescent="0.25">
      <c r="A13" s="3" t="s">
        <v>2</v>
      </c>
      <c r="B13" s="3" t="s">
        <v>53</v>
      </c>
      <c r="C13" s="3" t="s">
        <v>54</v>
      </c>
    </row>
    <row r="14" spans="1:6" x14ac:dyDescent="0.25">
      <c r="A14" s="3">
        <v>45</v>
      </c>
      <c r="B14" s="3">
        <v>1</v>
      </c>
      <c r="C14" s="3">
        <f>_xlfn.RANK.AVG(A14, $A$14:$A$39, 1)</f>
        <v>4</v>
      </c>
    </row>
    <row r="15" spans="1:6" x14ac:dyDescent="0.25">
      <c r="A15" s="3">
        <v>47</v>
      </c>
      <c r="B15" s="3">
        <v>1</v>
      </c>
      <c r="C15" s="3">
        <f t="shared" ref="C15:C29" si="0">_xlfn.RANK.AVG(A15, $A$14:$A$39, 1)</f>
        <v>6</v>
      </c>
    </row>
    <row r="16" spans="1:6" x14ac:dyDescent="0.25">
      <c r="A16" s="3">
        <v>49</v>
      </c>
      <c r="B16" s="3">
        <v>1</v>
      </c>
      <c r="C16" s="3">
        <f t="shared" si="0"/>
        <v>8</v>
      </c>
    </row>
    <row r="17" spans="1:6" x14ac:dyDescent="0.25">
      <c r="A17" s="3">
        <v>50</v>
      </c>
      <c r="B17" s="3">
        <v>1</v>
      </c>
      <c r="C17" s="3">
        <f t="shared" si="0"/>
        <v>9</v>
      </c>
      <c r="E17" s="3" t="s">
        <v>55</v>
      </c>
      <c r="F17" s="3">
        <f>COUNTIF(B14:B29,1)</f>
        <v>8</v>
      </c>
    </row>
    <row r="18" spans="1:6" x14ac:dyDescent="0.25">
      <c r="A18" s="3">
        <v>52</v>
      </c>
      <c r="B18" s="3">
        <v>1</v>
      </c>
      <c r="C18" s="3">
        <f t="shared" si="0"/>
        <v>11</v>
      </c>
      <c r="E18" s="3" t="s">
        <v>56</v>
      </c>
      <c r="F18" s="3">
        <f>COUNTIF(B14:B29, 2)</f>
        <v>8</v>
      </c>
    </row>
    <row r="19" spans="1:6" x14ac:dyDescent="0.25">
      <c r="A19" s="3">
        <v>54</v>
      </c>
      <c r="B19" s="3">
        <v>1</v>
      </c>
      <c r="C19" s="3">
        <f t="shared" si="0"/>
        <v>13</v>
      </c>
      <c r="E19" s="3" t="s">
        <v>57</v>
      </c>
      <c r="F19" s="3">
        <f>SUMIF(B14:B29, 1, C14:C29)</f>
        <v>82</v>
      </c>
    </row>
    <row r="20" spans="1:6" x14ac:dyDescent="0.25">
      <c r="A20" s="3">
        <v>56</v>
      </c>
      <c r="B20" s="3">
        <v>1</v>
      </c>
      <c r="C20" s="3">
        <f t="shared" si="0"/>
        <v>15</v>
      </c>
      <c r="E20" s="3" t="s">
        <v>58</v>
      </c>
      <c r="F20" s="3">
        <f>SUMIF(B14:B29, 2, C14:C29)</f>
        <v>54</v>
      </c>
    </row>
    <row r="21" spans="1:6" x14ac:dyDescent="0.25">
      <c r="A21" s="3">
        <v>58</v>
      </c>
      <c r="B21" s="3">
        <v>1</v>
      </c>
      <c r="C21" s="3">
        <f t="shared" si="0"/>
        <v>16</v>
      </c>
    </row>
    <row r="22" spans="1:6" x14ac:dyDescent="0.25">
      <c r="A22" s="3">
        <v>40</v>
      </c>
      <c r="B22" s="3">
        <v>2</v>
      </c>
      <c r="C22" s="3">
        <f t="shared" si="0"/>
        <v>1</v>
      </c>
      <c r="E22" s="3" t="s">
        <v>59</v>
      </c>
      <c r="F22" s="3">
        <f>(F17*F18) +(F17*(F17+1)/2)-F19</f>
        <v>18</v>
      </c>
    </row>
    <row r="23" spans="1:6" x14ac:dyDescent="0.25">
      <c r="A23" s="3">
        <v>42</v>
      </c>
      <c r="B23" s="3">
        <v>2</v>
      </c>
      <c r="C23" s="3">
        <f t="shared" si="0"/>
        <v>2</v>
      </c>
      <c r="E23" s="3" t="s">
        <v>60</v>
      </c>
      <c r="F23" s="3">
        <f>(F17*F18) +(F18*(F18+1)/2)-F20</f>
        <v>46</v>
      </c>
    </row>
    <row r="24" spans="1:6" x14ac:dyDescent="0.25">
      <c r="A24" s="3">
        <v>44</v>
      </c>
      <c r="B24" s="3">
        <v>2</v>
      </c>
      <c r="C24" s="3">
        <f t="shared" si="0"/>
        <v>3</v>
      </c>
      <c r="E24" s="3" t="s">
        <v>61</v>
      </c>
      <c r="F24" s="3">
        <f>MIN(F22,F23)</f>
        <v>18</v>
      </c>
    </row>
    <row r="25" spans="1:6" x14ac:dyDescent="0.25">
      <c r="A25" s="3">
        <v>46</v>
      </c>
      <c r="B25" s="3">
        <v>2</v>
      </c>
      <c r="C25" s="3">
        <f t="shared" si="0"/>
        <v>5</v>
      </c>
    </row>
    <row r="26" spans="1:6" x14ac:dyDescent="0.25">
      <c r="A26" s="3">
        <v>48</v>
      </c>
      <c r="B26" s="3">
        <v>2</v>
      </c>
      <c r="C26" s="3">
        <f t="shared" si="0"/>
        <v>7</v>
      </c>
    </row>
    <row r="27" spans="1:6" x14ac:dyDescent="0.25">
      <c r="A27" s="3">
        <v>51</v>
      </c>
      <c r="B27" s="3">
        <v>2</v>
      </c>
      <c r="C27" s="3">
        <f t="shared" si="0"/>
        <v>10</v>
      </c>
    </row>
    <row r="28" spans="1:6" x14ac:dyDescent="0.25">
      <c r="A28" s="3">
        <v>53</v>
      </c>
      <c r="B28" s="3">
        <v>2</v>
      </c>
      <c r="C28" s="3">
        <f t="shared" si="0"/>
        <v>12</v>
      </c>
    </row>
    <row r="29" spans="1:6" x14ac:dyDescent="0.25">
      <c r="A29" s="3">
        <v>55</v>
      </c>
      <c r="B29" s="3">
        <v>2</v>
      </c>
      <c r="C29" s="3">
        <f t="shared" si="0"/>
        <v>14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AC8A-D451-40B1-BCE7-3C526CFF1B53}">
  <dimension ref="A1:G25"/>
  <sheetViews>
    <sheetView workbookViewId="0">
      <selection activeCell="G21" sqref="G21"/>
    </sheetView>
  </sheetViews>
  <sheetFormatPr defaultRowHeight="13.8" x14ac:dyDescent="0.25"/>
  <cols>
    <col min="1" max="5" width="8.88671875" style="3"/>
    <col min="6" max="6" width="19.109375" style="3" customWidth="1"/>
    <col min="7" max="16384" width="8.88671875" style="3"/>
  </cols>
  <sheetData>
    <row r="1" spans="1:7" ht="20.399999999999999" x14ac:dyDescent="0.35">
      <c r="A1" s="9" t="s">
        <v>39</v>
      </c>
      <c r="B1" s="9"/>
      <c r="C1" s="9"/>
      <c r="D1" s="9"/>
      <c r="E1" s="9"/>
      <c r="F1" s="9"/>
      <c r="G1" s="9"/>
    </row>
    <row r="3" spans="1:7" x14ac:dyDescent="0.25">
      <c r="A3" s="3" t="s">
        <v>40</v>
      </c>
      <c r="B3" s="3" t="s">
        <v>38</v>
      </c>
      <c r="C3" s="3" t="s">
        <v>41</v>
      </c>
    </row>
    <row r="4" spans="1:7" x14ac:dyDescent="0.25">
      <c r="A4" s="3">
        <v>12</v>
      </c>
      <c r="B4" s="3">
        <v>10</v>
      </c>
      <c r="C4" s="3">
        <v>15</v>
      </c>
    </row>
    <row r="5" spans="1:7" x14ac:dyDescent="0.25">
      <c r="A5" s="3">
        <v>15</v>
      </c>
      <c r="B5" s="3">
        <v>12</v>
      </c>
      <c r="C5" s="3">
        <v>17</v>
      </c>
    </row>
    <row r="6" spans="1:7" x14ac:dyDescent="0.25">
      <c r="A6" s="3">
        <v>14</v>
      </c>
      <c r="B6" s="3">
        <v>14</v>
      </c>
      <c r="C6" s="3">
        <v>18</v>
      </c>
    </row>
    <row r="7" spans="1:7" x14ac:dyDescent="0.25">
      <c r="A7" s="3">
        <v>13</v>
      </c>
      <c r="B7" s="3">
        <v>13</v>
      </c>
      <c r="C7" s="3">
        <v>16</v>
      </c>
    </row>
    <row r="8" spans="1:7" x14ac:dyDescent="0.25">
      <c r="A8" s="3">
        <v>16</v>
      </c>
      <c r="B8" s="3">
        <v>11</v>
      </c>
      <c r="C8" s="3">
        <v>19</v>
      </c>
    </row>
    <row r="10" spans="1:7" x14ac:dyDescent="0.25">
      <c r="A10" s="3" t="s">
        <v>63</v>
      </c>
      <c r="B10" s="3" t="s">
        <v>53</v>
      </c>
      <c r="C10" s="3" t="s">
        <v>54</v>
      </c>
    </row>
    <row r="11" spans="1:7" x14ac:dyDescent="0.25">
      <c r="A11" s="3">
        <v>12</v>
      </c>
      <c r="B11" s="3">
        <v>1</v>
      </c>
      <c r="C11" s="3">
        <f>_xlfn.RANK.AVG(A11, $A$11:$A$25, 1)</f>
        <v>3.5</v>
      </c>
    </row>
    <row r="12" spans="1:7" x14ac:dyDescent="0.25">
      <c r="A12" s="3">
        <v>15</v>
      </c>
      <c r="B12" s="3">
        <v>1</v>
      </c>
      <c r="C12" s="3">
        <f t="shared" ref="C12:C25" si="0">_xlfn.RANK.AVG(A12, $A$11:$A$25, 1)</f>
        <v>9.5</v>
      </c>
    </row>
    <row r="13" spans="1:7" x14ac:dyDescent="0.25">
      <c r="A13" s="3">
        <v>14</v>
      </c>
      <c r="B13" s="3">
        <v>1</v>
      </c>
      <c r="C13" s="3">
        <f t="shared" si="0"/>
        <v>7.5</v>
      </c>
    </row>
    <row r="14" spans="1:7" x14ac:dyDescent="0.25">
      <c r="A14" s="3">
        <v>13</v>
      </c>
      <c r="B14" s="3">
        <v>1</v>
      </c>
      <c r="C14" s="3">
        <f t="shared" si="0"/>
        <v>5.5</v>
      </c>
      <c r="D14" s="3" t="s">
        <v>53</v>
      </c>
      <c r="E14" s="3" t="s">
        <v>64</v>
      </c>
      <c r="F14" s="3" t="s">
        <v>66</v>
      </c>
      <c r="G14" s="3" t="s">
        <v>65</v>
      </c>
    </row>
    <row r="15" spans="1:7" x14ac:dyDescent="0.25">
      <c r="A15" s="3">
        <v>16</v>
      </c>
      <c r="B15" s="3">
        <v>1</v>
      </c>
      <c r="C15" s="3">
        <f t="shared" si="0"/>
        <v>11.5</v>
      </c>
      <c r="D15" s="3">
        <v>1</v>
      </c>
      <c r="E15" s="3">
        <f>COUNTIF($B$11:$B$25, 1)</f>
        <v>5</v>
      </c>
      <c r="F15" s="3">
        <f>SUMIF($B$11:$B$25, 1, $C$11:$C$25)</f>
        <v>37.5</v>
      </c>
      <c r="G15" s="3">
        <f>F15^2/E15</f>
        <v>281.25</v>
      </c>
    </row>
    <row r="16" spans="1:7" x14ac:dyDescent="0.25">
      <c r="A16" s="3">
        <v>10</v>
      </c>
      <c r="B16" s="3">
        <v>2</v>
      </c>
      <c r="C16" s="3">
        <f t="shared" si="0"/>
        <v>1</v>
      </c>
      <c r="D16" s="3">
        <v>2</v>
      </c>
      <c r="E16" s="3">
        <f>COUNTIF($B$11:$B$25, 2)</f>
        <v>5</v>
      </c>
      <c r="F16" s="3">
        <f>SUMIF($B$11:$B$25, 2, $C$11:$C$25)</f>
        <v>19.5</v>
      </c>
      <c r="G16" s="3">
        <f t="shared" ref="G16:G17" si="1">F16^2/E16</f>
        <v>76.05</v>
      </c>
    </row>
    <row r="17" spans="1:7" x14ac:dyDescent="0.25">
      <c r="A17" s="3">
        <v>12</v>
      </c>
      <c r="B17" s="3">
        <v>2</v>
      </c>
      <c r="C17" s="3">
        <f t="shared" si="0"/>
        <v>3.5</v>
      </c>
      <c r="D17" s="3">
        <v>3</v>
      </c>
      <c r="E17" s="3">
        <f>COUNTIF($B$11:$B$25, 3)</f>
        <v>5</v>
      </c>
      <c r="F17" s="3">
        <f>SUMIF($B$11:$B$25, 3, $C$11:$C$25)</f>
        <v>63</v>
      </c>
      <c r="G17" s="3">
        <f t="shared" si="1"/>
        <v>793.8</v>
      </c>
    </row>
    <row r="18" spans="1:7" x14ac:dyDescent="0.25">
      <c r="A18" s="3">
        <v>14</v>
      </c>
      <c r="B18" s="3">
        <v>2</v>
      </c>
      <c r="C18" s="3">
        <f t="shared" si="0"/>
        <v>7.5</v>
      </c>
      <c r="F18" s="3" t="s">
        <v>67</v>
      </c>
      <c r="G18" s="3">
        <f>SUM(E15:E17)</f>
        <v>15</v>
      </c>
    </row>
    <row r="19" spans="1:7" x14ac:dyDescent="0.25">
      <c r="A19" s="3">
        <v>13</v>
      </c>
      <c r="B19" s="3">
        <v>2</v>
      </c>
      <c r="C19" s="3">
        <f t="shared" si="0"/>
        <v>5.5</v>
      </c>
      <c r="F19" s="3" t="s">
        <v>12</v>
      </c>
      <c r="G19" s="3">
        <f>12*SUM(G15:G17)/(G18*(G18+1)) -3*(G18+1)</f>
        <v>9.5549999999999926</v>
      </c>
    </row>
    <row r="20" spans="1:7" x14ac:dyDescent="0.25">
      <c r="A20" s="3">
        <v>11</v>
      </c>
      <c r="B20" s="3">
        <v>2</v>
      </c>
      <c r="C20" s="3">
        <f t="shared" si="0"/>
        <v>2</v>
      </c>
      <c r="F20" s="3" t="s">
        <v>52</v>
      </c>
      <c r="G20" s="3">
        <f>_xlfn.CHISQ.DIST.RT(G19, 2)</f>
        <v>8.4170152242852587E-3</v>
      </c>
    </row>
    <row r="21" spans="1:7" x14ac:dyDescent="0.25">
      <c r="A21" s="3">
        <v>15</v>
      </c>
      <c r="B21" s="3">
        <v>3</v>
      </c>
      <c r="C21" s="3">
        <f t="shared" si="0"/>
        <v>9.5</v>
      </c>
    </row>
    <row r="22" spans="1:7" x14ac:dyDescent="0.25">
      <c r="A22" s="3">
        <v>17</v>
      </c>
      <c r="B22" s="3">
        <v>3</v>
      </c>
      <c r="C22" s="3">
        <f t="shared" si="0"/>
        <v>13</v>
      </c>
    </row>
    <row r="23" spans="1:7" x14ac:dyDescent="0.25">
      <c r="A23" s="3">
        <v>18</v>
      </c>
      <c r="B23" s="3">
        <v>3</v>
      </c>
      <c r="C23" s="3">
        <f t="shared" si="0"/>
        <v>14</v>
      </c>
    </row>
    <row r="24" spans="1:7" x14ac:dyDescent="0.25">
      <c r="A24" s="3">
        <v>16</v>
      </c>
      <c r="B24" s="3">
        <v>3</v>
      </c>
      <c r="C24" s="3">
        <f t="shared" si="0"/>
        <v>11.5</v>
      </c>
    </row>
    <row r="25" spans="1:7" x14ac:dyDescent="0.25">
      <c r="A25" s="3">
        <v>19</v>
      </c>
      <c r="B25" s="3">
        <v>3</v>
      </c>
      <c r="C25" s="3">
        <f t="shared" si="0"/>
        <v>15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2A07-5658-45E6-9B50-4730F99303B6}">
  <dimension ref="A1:F16"/>
  <sheetViews>
    <sheetView workbookViewId="0">
      <selection activeCell="C17" sqref="C17"/>
    </sheetView>
  </sheetViews>
  <sheetFormatPr defaultRowHeight="13.8" x14ac:dyDescent="0.25"/>
  <cols>
    <col min="1" max="1" width="8.88671875" style="3"/>
    <col min="2" max="2" width="13.109375" style="3" customWidth="1"/>
    <col min="3" max="3" width="14" style="3" customWidth="1"/>
    <col min="4" max="4" width="14.5546875" style="3" customWidth="1"/>
    <col min="5" max="16384" width="8.88671875" style="3"/>
  </cols>
  <sheetData>
    <row r="1" spans="1:6" ht="20.399999999999999" x14ac:dyDescent="0.35">
      <c r="A1" s="9" t="s">
        <v>42</v>
      </c>
      <c r="B1" s="8"/>
      <c r="C1" s="8"/>
      <c r="D1" s="8"/>
      <c r="E1" s="8"/>
      <c r="F1" s="8"/>
    </row>
    <row r="3" spans="1:6" x14ac:dyDescent="0.25">
      <c r="A3" s="3" t="s">
        <v>43</v>
      </c>
      <c r="B3" s="3" t="s">
        <v>44</v>
      </c>
      <c r="C3" s="3" t="s">
        <v>69</v>
      </c>
      <c r="D3" s="3" t="s">
        <v>68</v>
      </c>
    </row>
    <row r="4" spans="1:6" x14ac:dyDescent="0.25">
      <c r="A4" s="3">
        <v>1</v>
      </c>
      <c r="B4" s="3">
        <v>2</v>
      </c>
      <c r="C4" s="3">
        <f>COUNTIF(B5:$B$9, "&gt;"&amp;B4)</f>
        <v>4</v>
      </c>
      <c r="D4" s="3">
        <f>COUNTIF(B5:$B$9, "&lt;"&amp;B4)</f>
        <v>1</v>
      </c>
    </row>
    <row r="5" spans="1:6" x14ac:dyDescent="0.25">
      <c r="A5" s="3">
        <v>2</v>
      </c>
      <c r="B5" s="3">
        <v>3</v>
      </c>
      <c r="C5" s="3">
        <f>COUNTIF(B6:$B$9, "&gt;"&amp;B5)</f>
        <v>3</v>
      </c>
      <c r="D5" s="3">
        <f>COUNTIF(B6:$B$9, "&lt;"&amp;B5)</f>
        <v>1</v>
      </c>
    </row>
    <row r="6" spans="1:6" x14ac:dyDescent="0.25">
      <c r="A6" s="3">
        <v>3</v>
      </c>
      <c r="B6" s="3">
        <v>1</v>
      </c>
      <c r="C6" s="3">
        <f>COUNTIF(B7:$B$9, "&gt;"&amp;B6)</f>
        <v>3</v>
      </c>
      <c r="D6" s="3">
        <f>COUNTIF(B7:$B$9, "&lt;"&amp;B6)</f>
        <v>0</v>
      </c>
    </row>
    <row r="7" spans="1:6" x14ac:dyDescent="0.25">
      <c r="A7" s="3">
        <v>4</v>
      </c>
      <c r="B7" s="3">
        <v>4</v>
      </c>
      <c r="C7" s="3">
        <f>COUNTIF(B8:$B$9, "&gt;"&amp;B7)</f>
        <v>2</v>
      </c>
      <c r="D7" s="3">
        <f>COUNTIF(B8:$B$9, "&lt;"&amp;B7)</f>
        <v>0</v>
      </c>
    </row>
    <row r="8" spans="1:6" x14ac:dyDescent="0.25">
      <c r="A8" s="3">
        <v>5</v>
      </c>
      <c r="B8" s="3">
        <v>5</v>
      </c>
      <c r="C8" s="3">
        <f>COUNTIF(B9:$B$9, "&gt;"&amp;B8)</f>
        <v>1</v>
      </c>
      <c r="D8" s="3">
        <f>COUNTIF(B9:$B$9, "&lt;"&amp;B8)</f>
        <v>0</v>
      </c>
    </row>
    <row r="9" spans="1:6" x14ac:dyDescent="0.25">
      <c r="A9" s="3">
        <v>6</v>
      </c>
      <c r="B9" s="3">
        <v>6</v>
      </c>
      <c r="C9" s="3">
        <f>COUNTIF(B$9:$B10, "&gt;"&amp;B9)</f>
        <v>0</v>
      </c>
      <c r="D9" s="3">
        <f>COUNTIF(B$9:$B10, "&lt;"&amp;B9)</f>
        <v>0</v>
      </c>
    </row>
    <row r="11" spans="1:6" x14ac:dyDescent="0.25">
      <c r="B11" s="3" t="s">
        <v>70</v>
      </c>
      <c r="C11" s="3">
        <f>SUM(C4:C9)</f>
        <v>13</v>
      </c>
    </row>
    <row r="12" spans="1:6" x14ac:dyDescent="0.25">
      <c r="B12" s="3" t="s">
        <v>71</v>
      </c>
      <c r="C12" s="3">
        <f>SUM(D4:D9)</f>
        <v>2</v>
      </c>
    </row>
    <row r="13" spans="1:6" x14ac:dyDescent="0.25">
      <c r="B13" s="3" t="s">
        <v>72</v>
      </c>
      <c r="C13" s="3">
        <f>C11-C12</f>
        <v>11</v>
      </c>
    </row>
    <row r="14" spans="1:6" x14ac:dyDescent="0.25">
      <c r="B14" s="3" t="s">
        <v>73</v>
      </c>
      <c r="C14" s="3">
        <f>COUNT(A4:A9)</f>
        <v>6</v>
      </c>
    </row>
    <row r="15" spans="1:6" x14ac:dyDescent="0.25">
      <c r="B15" s="3" t="s">
        <v>74</v>
      </c>
      <c r="C15" s="3">
        <f>C14*(C14-1)/2</f>
        <v>15</v>
      </c>
    </row>
    <row r="16" spans="1:6" x14ac:dyDescent="0.25">
      <c r="B16" s="3" t="s">
        <v>75</v>
      </c>
      <c r="C16" s="3">
        <f>C13/C15</f>
        <v>0.73333333333333328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582F-5B16-4673-BFA2-1B09CD27C4B4}">
  <dimension ref="A1:F16"/>
  <sheetViews>
    <sheetView tabSelected="1" workbookViewId="0">
      <selection activeCell="F27" sqref="F27"/>
    </sheetView>
  </sheetViews>
  <sheetFormatPr defaultRowHeight="13.8" x14ac:dyDescent="0.25"/>
  <cols>
    <col min="1" max="2" width="8.88671875" style="3"/>
    <col min="3" max="3" width="11.109375" style="3" customWidth="1"/>
    <col min="4" max="4" width="8.88671875" style="3"/>
    <col min="5" max="5" width="10.33203125" style="3" customWidth="1"/>
    <col min="6" max="16384" width="8.88671875" style="3"/>
  </cols>
  <sheetData>
    <row r="1" spans="1:6" ht="20.399999999999999" x14ac:dyDescent="0.35">
      <c r="A1" s="9" t="s">
        <v>45</v>
      </c>
      <c r="B1" s="8"/>
      <c r="C1" s="8"/>
      <c r="D1" s="8"/>
      <c r="E1" s="8"/>
      <c r="F1" s="8"/>
    </row>
    <row r="3" spans="1:6" x14ac:dyDescent="0.25">
      <c r="A3" s="3" t="s">
        <v>43</v>
      </c>
      <c r="B3" s="3" t="s">
        <v>44</v>
      </c>
      <c r="C3" s="3" t="s">
        <v>76</v>
      </c>
      <c r="D3" s="3" t="s">
        <v>77</v>
      </c>
      <c r="E3" s="3" t="s">
        <v>79</v>
      </c>
      <c r="F3" s="3" t="s">
        <v>78</v>
      </c>
    </row>
    <row r="4" spans="1:6" x14ac:dyDescent="0.25">
      <c r="A4" s="3">
        <v>10</v>
      </c>
      <c r="B4" s="3">
        <v>8</v>
      </c>
      <c r="C4" s="3">
        <f>_xlfn.RANK.AVG(A4, $A$4:$A$10, 1)</f>
        <v>1</v>
      </c>
      <c r="D4" s="3">
        <f>_xlfn.RANK.AVG(B4, $B$4:$B$10, 1)</f>
        <v>1</v>
      </c>
      <c r="E4" s="3">
        <f>C4-D4</f>
        <v>0</v>
      </c>
      <c r="F4" s="3">
        <f>E4^2</f>
        <v>0</v>
      </c>
    </row>
    <row r="5" spans="1:6" x14ac:dyDescent="0.25">
      <c r="A5" s="3">
        <v>12</v>
      </c>
      <c r="B5" s="3">
        <v>9</v>
      </c>
      <c r="C5" s="3">
        <f t="shared" ref="C5:C10" si="0">_xlfn.RANK.AVG(A5, $A$4:$A$10, 1)</f>
        <v>2</v>
      </c>
      <c r="D5" s="3">
        <f t="shared" ref="D5:D10" si="1">_xlfn.RANK.AVG(B5, $B$4:$B$10, 1)</f>
        <v>2</v>
      </c>
      <c r="E5" s="3">
        <f t="shared" ref="E5:E10" si="2">C5-D5</f>
        <v>0</v>
      </c>
      <c r="F5" s="3">
        <f t="shared" ref="F5:F10" si="3">E5^2</f>
        <v>0</v>
      </c>
    </row>
    <row r="6" spans="1:6" x14ac:dyDescent="0.25">
      <c r="A6" s="3">
        <v>14</v>
      </c>
      <c r="B6" s="3">
        <v>11</v>
      </c>
      <c r="C6" s="3">
        <f t="shared" si="0"/>
        <v>3</v>
      </c>
      <c r="D6" s="3">
        <f t="shared" si="1"/>
        <v>3</v>
      </c>
      <c r="E6" s="3">
        <f t="shared" si="2"/>
        <v>0</v>
      </c>
      <c r="F6" s="3">
        <f t="shared" si="3"/>
        <v>0</v>
      </c>
    </row>
    <row r="7" spans="1:6" x14ac:dyDescent="0.25">
      <c r="A7" s="3">
        <v>15</v>
      </c>
      <c r="B7" s="3">
        <v>14</v>
      </c>
      <c r="C7" s="3">
        <f t="shared" si="0"/>
        <v>4</v>
      </c>
      <c r="D7" s="3">
        <f t="shared" si="1"/>
        <v>4</v>
      </c>
      <c r="E7" s="3">
        <f t="shared" si="2"/>
        <v>0</v>
      </c>
      <c r="F7" s="3">
        <f t="shared" si="3"/>
        <v>0</v>
      </c>
    </row>
    <row r="8" spans="1:6" x14ac:dyDescent="0.25">
      <c r="A8" s="3">
        <v>18</v>
      </c>
      <c r="B8" s="3">
        <v>16</v>
      </c>
      <c r="C8" s="3">
        <f t="shared" si="0"/>
        <v>5</v>
      </c>
      <c r="D8" s="3">
        <f t="shared" si="1"/>
        <v>5</v>
      </c>
      <c r="E8" s="3">
        <f t="shared" si="2"/>
        <v>0</v>
      </c>
      <c r="F8" s="3">
        <f t="shared" si="3"/>
        <v>0</v>
      </c>
    </row>
    <row r="9" spans="1:6" x14ac:dyDescent="0.25">
      <c r="A9" s="3">
        <v>20</v>
      </c>
      <c r="B9" s="3">
        <v>19</v>
      </c>
      <c r="C9" s="3">
        <f t="shared" si="0"/>
        <v>6</v>
      </c>
      <c r="D9" s="3">
        <f t="shared" si="1"/>
        <v>6</v>
      </c>
      <c r="E9" s="3">
        <f t="shared" si="2"/>
        <v>0</v>
      </c>
      <c r="F9" s="3">
        <f t="shared" si="3"/>
        <v>0</v>
      </c>
    </row>
    <row r="10" spans="1:6" x14ac:dyDescent="0.25">
      <c r="A10" s="3">
        <v>22</v>
      </c>
      <c r="B10" s="3">
        <v>21</v>
      </c>
      <c r="C10" s="3">
        <f t="shared" si="0"/>
        <v>7</v>
      </c>
      <c r="D10" s="3">
        <f t="shared" si="1"/>
        <v>7</v>
      </c>
      <c r="E10" s="3">
        <f t="shared" si="2"/>
        <v>0</v>
      </c>
      <c r="F10" s="3">
        <f t="shared" si="3"/>
        <v>0</v>
      </c>
    </row>
    <row r="12" spans="1:6" x14ac:dyDescent="0.25">
      <c r="C12" s="3" t="s">
        <v>80</v>
      </c>
      <c r="D12" s="3">
        <f>SUM(F4:F10)</f>
        <v>0</v>
      </c>
    </row>
    <row r="13" spans="1:6" x14ac:dyDescent="0.25">
      <c r="C13" s="3" t="s">
        <v>81</v>
      </c>
      <c r="D13" s="3">
        <f>COUNT(A4:A10)</f>
        <v>7</v>
      </c>
    </row>
    <row r="14" spans="1:6" x14ac:dyDescent="0.25">
      <c r="C14" s="3" t="s">
        <v>82</v>
      </c>
      <c r="D14" s="3">
        <f>6*D12</f>
        <v>0</v>
      </c>
    </row>
    <row r="15" spans="1:6" x14ac:dyDescent="0.25">
      <c r="C15" s="3" t="s">
        <v>83</v>
      </c>
      <c r="D15" s="3">
        <f>D13*(D13^2-1)</f>
        <v>336</v>
      </c>
    </row>
    <row r="16" spans="1:6" x14ac:dyDescent="0.25">
      <c r="C16" s="3" t="s">
        <v>84</v>
      </c>
      <c r="D16" s="3">
        <f>1-(D14/D15)</f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JAIN</dc:creator>
  <cp:lastModifiedBy>YASH JAIN</cp:lastModifiedBy>
  <dcterms:created xsi:type="dcterms:W3CDTF">2025-11-20T10:56:23Z</dcterms:created>
  <dcterms:modified xsi:type="dcterms:W3CDTF">2025-11-21T03:01:39Z</dcterms:modified>
</cp:coreProperties>
</file>